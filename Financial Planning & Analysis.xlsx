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917484827f3ec41/Desktop/"/>
    </mc:Choice>
  </mc:AlternateContent>
  <xr:revisionPtr revIDLastSave="17" documentId="11_F25DC773A252ABDACC104827891F7AD65BDE58E4" xr6:coauthVersionLast="45" xr6:coauthVersionMax="45" xr10:uidLastSave="{75148007-2F3A-438B-BFB3-FAC3E90CA54D}"/>
  <bookViews>
    <workbookView xWindow="-108" yWindow="-108" windowWidth="23256" windowHeight="12576" activeTab="4" xr2:uid="{00000000-000D-0000-FFFF-FFFF00000000}"/>
  </bookViews>
  <sheets>
    <sheet name="Data" sheetId="2" r:id="rId1"/>
    <sheet name="Actual vs Budget" sheetId="4" r:id="rId2"/>
    <sheet name="Variance by Department" sheetId="5" r:id="rId3"/>
    <sheet name="Variance by Category" sheetId="6" r:id="rId4"/>
    <sheet name="Dashboard" sheetId="9" r:id="rId5"/>
  </sheet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2" l="1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<sst xmlns="http://schemas.openxmlformats.org/spreadsheetml/2006/main" count="155" uniqueCount="38">
  <si>
    <t>Month</t>
  </si>
  <si>
    <t>Actual</t>
  </si>
  <si>
    <t>Budget</t>
  </si>
  <si>
    <t>Jan</t>
  </si>
  <si>
    <t>Feb</t>
  </si>
  <si>
    <t>Mar</t>
  </si>
  <si>
    <t>Apr</t>
  </si>
  <si>
    <t>May</t>
  </si>
  <si>
    <t>Jun</t>
  </si>
  <si>
    <t>IT</t>
  </si>
  <si>
    <t>HR</t>
  </si>
  <si>
    <t>Finance</t>
  </si>
  <si>
    <t>Admin</t>
  </si>
  <si>
    <t>Department</t>
  </si>
  <si>
    <t>Category</t>
  </si>
  <si>
    <t>Software Licenses</t>
  </si>
  <si>
    <t>Cloud Services</t>
  </si>
  <si>
    <t>Salaries</t>
  </si>
  <si>
    <t>Recruitment</t>
  </si>
  <si>
    <t>Audit &amp; Consulting</t>
  </si>
  <si>
    <t>Office Rent</t>
  </si>
  <si>
    <t>Variance</t>
  </si>
  <si>
    <t>Variance %</t>
  </si>
  <si>
    <t>Grand Total</t>
  </si>
  <si>
    <t>Sum of Budget</t>
  </si>
  <si>
    <t>Sum of Actual</t>
  </si>
  <si>
    <t>Sum of Variance</t>
  </si>
  <si>
    <t>Amounts in ₹ (INR)</t>
  </si>
  <si>
    <r>
      <rPr>
        <b/>
        <sz val="12"/>
        <color theme="1"/>
        <rFont val="Calibri"/>
        <family val="2"/>
        <scheme val="minor"/>
      </rPr>
      <t>Total Budget</t>
    </r>
    <r>
      <rPr>
        <sz val="11"/>
        <color theme="1"/>
        <rFont val="Calibri"/>
        <family val="2"/>
        <scheme val="minor"/>
      </rPr>
      <t xml:space="preserve">
</t>
    </r>
    <r>
      <rPr>
        <sz val="18"/>
        <color theme="1"/>
        <rFont val="Calibri"/>
        <family val="2"/>
        <scheme val="minor"/>
      </rPr>
      <t>₹ 1,36,65,000</t>
    </r>
  </si>
  <si>
    <t>Key Insights</t>
  </si>
  <si>
    <t>2. IT &amp; HR are primary drivers for variance.</t>
  </si>
  <si>
    <t>3. Actuals are exceeding forecasts indicationg potential pressure on budget in upcoming months.</t>
  </si>
  <si>
    <t xml:space="preserve"> </t>
  </si>
  <si>
    <t>Financial Performance Dashboard</t>
  </si>
  <si>
    <r>
      <rPr>
        <b/>
        <sz val="12"/>
        <color theme="1"/>
        <rFont val="Calibri"/>
        <family val="2"/>
        <scheme val="minor"/>
      </rPr>
      <t>Total Actual</t>
    </r>
    <r>
      <rPr>
        <sz val="11"/>
        <color theme="1"/>
        <rFont val="Calibri"/>
        <family val="2"/>
        <scheme val="minor"/>
      </rPr>
      <t xml:space="preserve">
</t>
    </r>
    <r>
      <rPr>
        <sz val="18"/>
        <color theme="1"/>
        <rFont val="Calibri"/>
        <family val="2"/>
        <scheme val="minor"/>
      </rPr>
      <t>₹1,38,96,000</t>
    </r>
  </si>
  <si>
    <r>
      <rPr>
        <b/>
        <sz val="12"/>
        <color theme="1"/>
        <rFont val="Calibri"/>
        <family val="2"/>
        <scheme val="minor"/>
      </rPr>
      <t>Variance(Budget vs Actual)</t>
    </r>
    <r>
      <rPr>
        <sz val="11"/>
        <color theme="1"/>
        <rFont val="Calibri"/>
        <family val="2"/>
        <scheme val="minor"/>
      </rPr>
      <t xml:space="preserve">
</t>
    </r>
    <r>
      <rPr>
        <sz val="18"/>
        <color theme="1"/>
        <rFont val="Calibri"/>
        <family val="2"/>
        <scheme val="minor"/>
      </rPr>
      <t>₹ 2,31,000</t>
    </r>
  </si>
  <si>
    <r>
      <rPr>
        <b/>
        <sz val="12"/>
        <rFont val="Calibri"/>
        <family val="2"/>
        <scheme val="minor"/>
      </rPr>
      <t>Variance%</t>
    </r>
    <r>
      <rPr>
        <sz val="11"/>
        <rFont val="Calibri"/>
        <family val="2"/>
        <scheme val="minor"/>
      </rPr>
      <t xml:space="preserve">
</t>
    </r>
    <r>
      <rPr>
        <sz val="18"/>
        <rFont val="Calibri"/>
        <family val="2"/>
        <scheme val="minor"/>
      </rPr>
      <t>1.69%</t>
    </r>
  </si>
  <si>
    <t>1. Actual spend is 1.69% more than budget, resulting in overspend.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</si>
</sst>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65" formatCode="_ [$₹-4009]\ * #,##0_ ;_ [$₹-4009]\ * \-#,##0_ ;_ [$₹-4009]\ * &quot;-&quot;??_ ;_ @_ "/>
    <numFmt numFmtId="166" formatCode="_ &quot;₹&quot;\ * #,##0_ ;_ &quot;₹&quot;\ * \-#,##0_ ;_ &quot;₹&quot;\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pivotButton="1"/>
    <xf numFmtId="0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/>
    <xf numFmtId="10" fontId="3" fillId="0" borderId="1" xfId="0" applyNumberFormat="1" applyFont="1" applyBorder="1" applyAlignment="1">
      <alignment horizontal="right"/>
    </xf>
    <xf numFmtId="0" fontId="0" fillId="0" borderId="0" xfId="0" applyBorder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165" fontId="2" fillId="0" borderId="1" xfId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5" fontId="0" fillId="0" borderId="0" xfId="1" applyNumberFormat="1" applyFont="1"/>
    <xf numFmtId="165" fontId="0" fillId="0" borderId="0" xfId="0" applyNumberFormat="1"/>
    <xf numFmtId="0" fontId="4" fillId="0" borderId="0" xfId="0" applyFont="1"/>
    <xf numFmtId="0" fontId="11" fillId="0" borderId="0" xfId="0" applyFont="1"/>
    <xf numFmtId="0" fontId="13" fillId="0" borderId="0" xfId="0" applyFont="1"/>
    <xf numFmtId="0" fontId="1" fillId="0" borderId="0" xfId="0" applyFont="1" applyBorder="1"/>
    <xf numFmtId="166" fontId="1" fillId="0" borderId="0" xfId="1" applyNumberFormat="1" applyFont="1" applyBorder="1"/>
    <xf numFmtId="10" fontId="1" fillId="0" borderId="0" xfId="0" applyNumberFormat="1" applyFont="1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0" fillId="2" borderId="0" xfId="0" applyFill="1" applyAlignment="1">
      <alignment horizontal="center" vertical="top" wrapText="1"/>
    </xf>
    <xf numFmtId="0" fontId="0" fillId="2" borderId="0" xfId="0" applyFill="1" applyAlignment="1">
      <alignment horizontal="center" vertical="top"/>
    </xf>
    <xf numFmtId="0" fontId="7" fillId="3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center" vertical="top"/>
    </xf>
    <xf numFmtId="0" fontId="1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2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F1803"/>
      <color rgb="FFE46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Planning ^0 Analysis.xlsx]Actual vs Budget!PivotTable3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Budget vs Actual - Monthly</a:t>
            </a:r>
            <a:r>
              <a:rPr lang="en-IN" sz="1400" b="0" i="0" u="none" strike="noStrik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 vs Budget'!$C$8</c:f>
              <c:strCache>
                <c:ptCount val="1"/>
                <c:pt idx="0">
                  <c:v>Sum of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'Actual vs Budget'!$B$9:$B$15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'Actual vs Budget'!$C$9:$C$15</c:f>
              <c:numCache>
                <c:formatCode>General</c:formatCode>
                <c:ptCount val="6"/>
                <c:pt idx="0">
                  <c:v>2275000</c:v>
                </c:pt>
                <c:pt idx="1">
                  <c:v>2275000</c:v>
                </c:pt>
                <c:pt idx="2">
                  <c:v>2275000</c:v>
                </c:pt>
                <c:pt idx="3">
                  <c:v>2280000</c:v>
                </c:pt>
                <c:pt idx="4">
                  <c:v>2280000</c:v>
                </c:pt>
                <c:pt idx="5">
                  <c:v>2280000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39-42B9-9DD9-5B540A2AEC76}"/>
            </c:ext>
          </c:extLst>
        </c:ser>
        <c:ser>
          <c:idx val="1"/>
          <c:order val="1"/>
          <c:tx>
            <c:strRef>
              <c:f>'Actual vs Budget'!$D$8</c:f>
              <c:strCache>
                <c:ptCount val="1"/>
                <c:pt idx="0">
                  <c:v>Sum of 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'Actual vs Budget'!$B$9:$B$15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'Actual vs Budget'!$D$9:$D$15</c:f>
              <c:numCache>
                <c:formatCode>General</c:formatCode>
                <c:ptCount val="6"/>
                <c:pt idx="0">
                  <c:v>2264000</c:v>
                </c:pt>
                <c:pt idx="1">
                  <c:v>2283000</c:v>
                </c:pt>
                <c:pt idx="2">
                  <c:v>2350000</c:v>
                </c:pt>
                <c:pt idx="3">
                  <c:v>2259000</c:v>
                </c:pt>
                <c:pt idx="4">
                  <c:v>2340000</c:v>
                </c:pt>
                <c:pt idx="5">
                  <c:v>2400000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39-42B9-9DD9-5B540A2AE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2320168"/>
        <c:axId val="592324104"/>
      </c:barChart>
      <c:catAx>
        <c:axId val="59232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324104"/>
        <c:crosses val="autoZero"/>
        <c:auto val="1"/>
        <c:lblAlgn val="ctr"/>
        <c:lblOffset val="100"/>
        <c:noMultiLvlLbl val="0"/>
      </c:catAx>
      <c:valAx>
        <c:axId val="592324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32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Planning ^0 Analysis.xlsx]Variance by Department!PivotTable6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Variance by Department</a:t>
            </a:r>
            <a:r>
              <a:rPr lang="en-IN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'Variance by Department'!$C$5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'Variance by Department'!$B$6:$B$10</c:f>
              <c:strCache>
                <c:ptCount val="4"/>
                <c:pt idx="0">
                  <c:v>Admin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</c:strCache>
            </c:strRef>
          </c:cat>
          <c:val>
            <c:numRef>
              <c:f>'Variance by Department'!$C$6:$C$10</c:f>
              <c:numCache>
                <c:formatCode>General</c:formatCode>
                <c:ptCount val="4"/>
                <c:pt idx="0">
                  <c:v>0</c:v>
                </c:pt>
                <c:pt idx="1">
                  <c:v>50000</c:v>
                </c:pt>
                <c:pt idx="2">
                  <c:v>92000</c:v>
                </c:pt>
                <c:pt idx="3">
                  <c:v>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C-4497-9B15-64B3DD21F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3935208"/>
        <c:axId val="623935864"/>
      </c:barChart>
      <c:catAx>
        <c:axId val="623935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935864"/>
        <c:crosses val="autoZero"/>
        <c:auto val="1"/>
        <c:lblAlgn val="ctr"/>
        <c:lblOffset val="100"/>
        <c:noMultiLvlLbl val="0"/>
      </c:catAx>
      <c:valAx>
        <c:axId val="623935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935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Planning ^0 Analysis.xlsx]Variance by Category!PivotTable1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Variance by Category</a:t>
            </a:r>
            <a:r>
              <a:rPr lang="en-IN" sz="1400" b="0" i="0" u="none" strike="noStrik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'Variance by Category'!$C$4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'Variance by Category'!$B$5:$B$11</c:f>
              <c:strCache>
                <c:ptCount val="6"/>
                <c:pt idx="0">
                  <c:v>Audit &amp; Consulting</c:v>
                </c:pt>
                <c:pt idx="1">
                  <c:v>Cloud Services</c:v>
                </c:pt>
                <c:pt idx="2">
                  <c:v>Office Rent</c:v>
                </c:pt>
                <c:pt idx="3">
                  <c:v>Recruitment</c:v>
                </c:pt>
                <c:pt idx="4">
                  <c:v>Salaries</c:v>
                </c:pt>
                <c:pt idx="5">
                  <c:v>Software Licenses</c:v>
                </c:pt>
              </c:strCache>
            </c:strRef>
          </c:cat>
          <c:val>
            <c:numRef>
              <c:f>'Variance by Category'!$C$5:$C$11</c:f>
              <c:numCache>
                <c:formatCode>General</c:formatCode>
                <c:ptCount val="6"/>
                <c:pt idx="0">
                  <c:v>50000</c:v>
                </c:pt>
                <c:pt idx="1">
                  <c:v>60000</c:v>
                </c:pt>
                <c:pt idx="2">
                  <c:v>0</c:v>
                </c:pt>
                <c:pt idx="3">
                  <c:v>57000</c:v>
                </c:pt>
                <c:pt idx="4">
                  <c:v>35000</c:v>
                </c:pt>
                <c:pt idx="5">
                  <c:v>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2-4E12-9065-330ACBAD2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3117248"/>
        <c:axId val="503118560"/>
      </c:barChart>
      <c:catAx>
        <c:axId val="503117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18560"/>
        <c:crosses val="autoZero"/>
        <c:auto val="1"/>
        <c:lblAlgn val="ctr"/>
        <c:lblOffset val="100"/>
        <c:noMultiLvlLbl val="0"/>
      </c:catAx>
      <c:valAx>
        <c:axId val="50311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1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Planning ^0 Analysis.xlsx]Actual vs Budget!PivotTable3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  <a:effectLst/>
              </a:rPr>
              <a:t>Budget vs Actual - Monthly</a:t>
            </a:r>
            <a:r>
              <a:rPr lang="en-IN" sz="1400" b="0" i="0" u="none" strike="noStrike" baseline="0">
                <a:solidFill>
                  <a:sysClr val="windowText" lastClr="000000"/>
                </a:solidFill>
              </a:rPr>
              <a:t> </a:t>
            </a:r>
            <a:endParaRPr lang="en-I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 vs Budget'!$C$8</c:f>
              <c:strCache>
                <c:ptCount val="1"/>
                <c:pt idx="0">
                  <c:v>Sum of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'Actual vs Budget'!$B$9:$B$15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'Actual vs Budget'!$C$9:$C$15</c:f>
              <c:numCache>
                <c:formatCode>General</c:formatCode>
                <c:ptCount val="6"/>
                <c:pt idx="0">
                  <c:v>2275000</c:v>
                </c:pt>
                <c:pt idx="1">
                  <c:v>2275000</c:v>
                </c:pt>
                <c:pt idx="2">
                  <c:v>2275000</c:v>
                </c:pt>
                <c:pt idx="3">
                  <c:v>2280000</c:v>
                </c:pt>
                <c:pt idx="4">
                  <c:v>2280000</c:v>
                </c:pt>
                <c:pt idx="5">
                  <c:v>2280000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4-46C3-9BCB-A5AB230757BB}"/>
            </c:ext>
          </c:extLst>
        </c:ser>
        <c:ser>
          <c:idx val="1"/>
          <c:order val="1"/>
          <c:tx>
            <c:strRef>
              <c:f>'Actual vs Budget'!$D$8</c:f>
              <c:strCache>
                <c:ptCount val="1"/>
                <c:pt idx="0">
                  <c:v>Sum of 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'Actual vs Budget'!$B$9:$B$15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'Actual vs Budget'!$D$9:$D$15</c:f>
              <c:numCache>
                <c:formatCode>General</c:formatCode>
                <c:ptCount val="6"/>
                <c:pt idx="0">
                  <c:v>2264000</c:v>
                </c:pt>
                <c:pt idx="1">
                  <c:v>2283000</c:v>
                </c:pt>
                <c:pt idx="2">
                  <c:v>2350000</c:v>
                </c:pt>
                <c:pt idx="3">
                  <c:v>2259000</c:v>
                </c:pt>
                <c:pt idx="4">
                  <c:v>2340000</c:v>
                </c:pt>
                <c:pt idx="5">
                  <c:v>2400000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4-46C3-9BCB-A5AB23075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2320168"/>
        <c:axId val="592324104"/>
      </c:barChart>
      <c:catAx>
        <c:axId val="59232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324104"/>
        <c:crosses val="autoZero"/>
        <c:auto val="1"/>
        <c:lblAlgn val="ctr"/>
        <c:lblOffset val="100"/>
        <c:noMultiLvlLbl val="0"/>
      </c:catAx>
      <c:valAx>
        <c:axId val="592324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320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Planning ^0 Analysis.xlsx]Variance by Department!PivotTable6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  <a:effectLst/>
              </a:rPr>
              <a:t>Variance by Department</a:t>
            </a:r>
            <a:r>
              <a:rPr lang="en-IN" sz="1400" b="0" i="0" u="none" strike="noStrike" baseline="0">
                <a:solidFill>
                  <a:sysClr val="windowText" lastClr="000000"/>
                </a:solidFill>
              </a:rPr>
              <a:t> 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8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'Variance by Department'!$C$5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A51-4A0A-80A9-A962DE8A7AB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51-4A0A-80A9-A962DE8A7AB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A51-4A0A-80A9-A962DE8A7AB8}"/>
              </c:ext>
            </c:extLst>
          </c:dPt>
          <c:cat>
            <c:strRef>
              <c:f>'Variance by Department'!$B$6:$B$10</c:f>
              <c:strCache>
                <c:ptCount val="4"/>
                <c:pt idx="0">
                  <c:v>Admin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</c:strCache>
            </c:strRef>
          </c:cat>
          <c:val>
            <c:numRef>
              <c:f>'Variance by Department'!$C$6:$C$10</c:f>
              <c:numCache>
                <c:formatCode>General</c:formatCode>
                <c:ptCount val="4"/>
                <c:pt idx="0">
                  <c:v>0</c:v>
                </c:pt>
                <c:pt idx="1">
                  <c:v>50000</c:v>
                </c:pt>
                <c:pt idx="2">
                  <c:v>92000</c:v>
                </c:pt>
                <c:pt idx="3">
                  <c:v>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1-4A0A-80A9-A962DE8A7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3935208"/>
        <c:axId val="623935864"/>
      </c:barChart>
      <c:catAx>
        <c:axId val="623935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935864"/>
        <c:crosses val="autoZero"/>
        <c:auto val="1"/>
        <c:lblAlgn val="ctr"/>
        <c:lblOffset val="100"/>
        <c:noMultiLvlLbl val="0"/>
      </c:catAx>
      <c:valAx>
        <c:axId val="623935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935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  <a:effectLst/>
              </a:rPr>
              <a:t>Actual vs Forecast - Trend</a:t>
            </a:r>
            <a:r>
              <a:rPr lang="en-IN" sz="1400" b="0" i="0" u="none" strike="noStrike" baseline="0">
                <a:solidFill>
                  <a:sysClr val="windowText" lastClr="000000"/>
                </a:solidFill>
              </a:rPr>
              <a:t> </a:t>
            </a:r>
            <a:endParaRPr lang="en-I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2"/>
          <c:order val="0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ED4-4120-913E-4BF56BDF8BFF}"/>
            </c:ext>
          </c:extLst>
        </c:ser>
        <c:ser>
          <c:idx val="3"/>
          <c:order val="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ED4-4120-913E-4BF56BDF8BFF}"/>
            </c:ext>
          </c:extLst>
        </c:ser>
        <c:ser>
          <c:idx val="0"/>
          <c:order val="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ED4-4120-913E-4BF56BDF8BFF}"/>
            </c:ext>
          </c:extLst>
        </c:ser>
        <c:ser>
          <c:idx val="1"/>
          <c:order val="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ED4-4120-913E-4BF56BDF8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591784"/>
        <c:axId val="593589816"/>
      </c:lineChart>
      <c:catAx>
        <c:axId val="593591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589816"/>
        <c:crosses val="autoZero"/>
        <c:auto val="1"/>
        <c:lblAlgn val="ctr"/>
        <c:lblOffset val="100"/>
        <c:noMultiLvlLbl val="0"/>
      </c:catAx>
      <c:valAx>
        <c:axId val="593589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59178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38099</xdr:colOff>
      <xdr:row>4</xdr:row>
      <xdr:rowOff>7621</xdr:rowOff>
    </xdr:from>
    <xdr:to>
      <xdr:col>20</xdr:col>
      <xdr:colOff>245241</xdr:colOff>
      <xdr:row>24</xdr:row>
      <xdr:rowOff>148896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6E0ED1-AB81-49BE-B4E2-E3DD7A6F6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4</xdr:row>
      <xdr:rowOff>152400</xdr:rowOff>
    </xdr:from>
    <xdr:to>
      <xdr:col>14</xdr:col>
      <xdr:colOff>45720</xdr:colOff>
      <xdr:row>17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497B4F-648B-4A26-B6AA-F63C92C1F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1</xdr:row>
      <xdr:rowOff>198120</xdr:rowOff>
    </xdr:from>
    <xdr:to>
      <xdr:col>13</xdr:col>
      <xdr:colOff>434340</xdr:colOff>
      <xdr:row>21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C5F9FE-1E02-45E0-8CD6-F7CED1BA7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375313</xdr:colOff>
      <xdr:row>8</xdr:row>
      <xdr:rowOff>34119</xdr:rowOff>
    </xdr:from>
    <xdr:to>
      <xdr:col>11</xdr:col>
      <xdr:colOff>571500</xdr:colOff>
      <xdr:row>23</xdr:row>
      <xdr:rowOff>170597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4863E-1AED-41AC-9C66-0AAFD47F57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107652</xdr:colOff>
      <xdr:row>8</xdr:row>
      <xdr:rowOff>34119</xdr:rowOff>
    </xdr:from>
    <xdr:to>
      <xdr:col>23</xdr:col>
      <xdr:colOff>161925</xdr:colOff>
      <xdr:row>23</xdr:row>
      <xdr:rowOff>170596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43E71F-8977-4CAE-93FD-AE43FDB5E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491068</xdr:colOff>
      <xdr:row>25</xdr:row>
      <xdr:rowOff>13512</xdr:rowOff>
    </xdr:from>
    <xdr:to>
      <xdr:col>20</xdr:col>
      <xdr:colOff>323849</xdr:colOff>
      <xdr:row>39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BA7B67-6666-470F-AC6F-68F0420D8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61.710738657406" createdVersion="6" refreshedVersion="6" minRefreshableVersion="3" recordCount="36" xr:uid="{40F3760C-1B08-4F94-9686-8C9434BAC696}">
  <cacheSource type="worksheet">
    <worksheetSource ref="A1:G37" sheet="Data"/>
  </cacheSource>
  <cacheFields count="7">
    <cacheField name="Month" numFmtId="0">
      <sharedItems count="6">
        <s v="Jan"/>
        <s v="Feb"/>
        <s v="Mar"/>
        <s v="Apr"/>
        <s v="May"/>
        <s v="Jun"/>
      </sharedItems>
    </cacheField>
    <cacheField name="Department" numFmtId="0">
      <sharedItems count="4">
        <s v="IT"/>
        <s v="HR"/>
        <s v="Finance"/>
        <s v="Admin"/>
      </sharedItems>
    </cacheField>
    <cacheField name="Category" numFmtId="0">
      <sharedItems count="6">
        <s v="Software Licenses"/>
        <s v="Cloud Services"/>
        <s v="Salaries"/>
        <s v="Recruitment"/>
        <s v="Audit &amp; Consulting"/>
        <s v="Office Rent"/>
      </sharedItems>
    </cacheField>
    <cacheField name="Budget" numFmtId="44">
      <sharedItems containsSemiMixedTypes="0" containsString="0" containsNumber="1" containsInteger="1" minValue="60000" maxValue="1250000"/>
    </cacheField>
    <cacheField name="Actual" numFmtId="164">
      <sharedItems containsSemiMixedTypes="0" containsString="0" containsNumber="1" containsInteger="1" minValue="55000" maxValue="1270000"/>
    </cacheField>
    <cacheField name="Variance" numFmtId="3">
      <sharedItems containsSemiMixedTypes="0" containsString="0" containsNumber="1" containsInteger="1" minValue="-10000" maxValue="30000"/>
    </cacheField>
    <cacheField name="Variance %" numFmtId="10">
      <sharedItems containsSemiMixedTypes="0" containsString="0" containsNumber="1" minValue="-8.3333333333333329E-2" maxValue="0.466666666666666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180000"/>
    <n v="185000"/>
    <n v="5000"/>
    <n v="2.7777777777777776E-2"/>
  </r>
  <r>
    <x v="0"/>
    <x v="0"/>
    <x v="1"/>
    <n v="250000"/>
    <n v="242000"/>
    <n v="-8000"/>
    <n v="-3.2000000000000001E-2"/>
  </r>
  <r>
    <x v="0"/>
    <x v="1"/>
    <x v="2"/>
    <n v="1200000"/>
    <n v="1195000"/>
    <n v="-5000"/>
    <n v="-4.1666666666666666E-3"/>
  </r>
  <r>
    <x v="0"/>
    <x v="1"/>
    <x v="3"/>
    <n v="75000"/>
    <n v="82000"/>
    <n v="7000"/>
    <n v="9.3333333333333338E-2"/>
  </r>
  <r>
    <x v="0"/>
    <x v="2"/>
    <x v="4"/>
    <n v="120000"/>
    <n v="110000"/>
    <n v="-10000"/>
    <n v="-8.3333333333333329E-2"/>
  </r>
  <r>
    <x v="0"/>
    <x v="3"/>
    <x v="5"/>
    <n v="450000"/>
    <n v="450000"/>
    <n v="0"/>
    <n v="0"/>
  </r>
  <r>
    <x v="1"/>
    <x v="0"/>
    <x v="0"/>
    <n v="180000"/>
    <n v="178000"/>
    <n v="-2000"/>
    <n v="-1.1111111111111112E-2"/>
  </r>
  <r>
    <x v="1"/>
    <x v="0"/>
    <x v="1"/>
    <n v="250000"/>
    <n v="255000"/>
    <n v="5000"/>
    <n v="0.02"/>
  </r>
  <r>
    <x v="1"/>
    <x v="1"/>
    <x v="2"/>
    <n v="1200000"/>
    <n v="1205000"/>
    <n v="5000"/>
    <n v="4.1666666666666666E-3"/>
  </r>
  <r>
    <x v="1"/>
    <x v="1"/>
    <x v="3"/>
    <n v="75000"/>
    <n v="70000"/>
    <n v="-5000"/>
    <n v="-6.6666666666666666E-2"/>
  </r>
  <r>
    <x v="1"/>
    <x v="2"/>
    <x v="4"/>
    <n v="120000"/>
    <n v="125000"/>
    <n v="5000"/>
    <n v="4.1666666666666664E-2"/>
  </r>
  <r>
    <x v="1"/>
    <x v="3"/>
    <x v="5"/>
    <n v="450000"/>
    <n v="450000"/>
    <n v="0"/>
    <n v="0"/>
  </r>
  <r>
    <x v="2"/>
    <x v="0"/>
    <x v="0"/>
    <n v="180000"/>
    <n v="190000"/>
    <n v="10000"/>
    <n v="5.5555555555555552E-2"/>
  </r>
  <r>
    <x v="2"/>
    <x v="0"/>
    <x v="1"/>
    <n v="250000"/>
    <n v="270000"/>
    <n v="20000"/>
    <n v="0.08"/>
  </r>
  <r>
    <x v="2"/>
    <x v="1"/>
    <x v="2"/>
    <n v="1200000"/>
    <n v="1210000"/>
    <n v="10000"/>
    <n v="8.3333333333333332E-3"/>
  </r>
  <r>
    <x v="2"/>
    <x v="1"/>
    <x v="3"/>
    <n v="75000"/>
    <n v="95000"/>
    <n v="20000"/>
    <n v="0.26666666666666666"/>
  </r>
  <r>
    <x v="2"/>
    <x v="2"/>
    <x v="4"/>
    <n v="120000"/>
    <n v="135000"/>
    <n v="15000"/>
    <n v="0.125"/>
  </r>
  <r>
    <x v="2"/>
    <x v="3"/>
    <x v="5"/>
    <n v="450000"/>
    <n v="450000"/>
    <n v="0"/>
    <n v="0"/>
  </r>
  <r>
    <x v="3"/>
    <x v="0"/>
    <x v="0"/>
    <n v="180000"/>
    <n v="176000"/>
    <n v="-4000"/>
    <n v="-2.2222222222222223E-2"/>
  </r>
  <r>
    <x v="3"/>
    <x v="0"/>
    <x v="1"/>
    <n v="250000"/>
    <n v="248000"/>
    <n v="-2000"/>
    <n v="-8.0000000000000002E-3"/>
  </r>
  <r>
    <x v="3"/>
    <x v="1"/>
    <x v="2"/>
    <n v="1250000"/>
    <n v="1245000"/>
    <n v="-5000"/>
    <n v="-4.0000000000000001E-3"/>
  </r>
  <r>
    <x v="3"/>
    <x v="1"/>
    <x v="3"/>
    <n v="60000"/>
    <n v="55000"/>
    <n v="-5000"/>
    <n v="-8.3333333333333329E-2"/>
  </r>
  <r>
    <x v="3"/>
    <x v="2"/>
    <x v="4"/>
    <n v="90000"/>
    <n v="85000"/>
    <n v="-5000"/>
    <n v="-5.5555555555555552E-2"/>
  </r>
  <r>
    <x v="3"/>
    <x v="3"/>
    <x v="5"/>
    <n v="450000"/>
    <n v="450000"/>
    <n v="0"/>
    <n v="0"/>
  </r>
  <r>
    <x v="4"/>
    <x v="0"/>
    <x v="0"/>
    <n v="180000"/>
    <n v="188000"/>
    <n v="8000"/>
    <n v="4.4444444444444446E-2"/>
  </r>
  <r>
    <x v="4"/>
    <x v="0"/>
    <x v="1"/>
    <n v="250000"/>
    <n v="265000"/>
    <n v="15000"/>
    <n v="0.06"/>
  </r>
  <r>
    <x v="4"/>
    <x v="1"/>
    <x v="2"/>
    <n v="1250000"/>
    <n v="1260000"/>
    <n v="10000"/>
    <n v="8.0000000000000002E-3"/>
  </r>
  <r>
    <x v="4"/>
    <x v="1"/>
    <x v="3"/>
    <n v="60000"/>
    <n v="72000"/>
    <n v="12000"/>
    <n v="0.2"/>
  </r>
  <r>
    <x v="4"/>
    <x v="2"/>
    <x v="4"/>
    <n v="90000"/>
    <n v="105000"/>
    <n v="15000"/>
    <n v="0.16666666666666666"/>
  </r>
  <r>
    <x v="4"/>
    <x v="3"/>
    <x v="5"/>
    <n v="450000"/>
    <n v="450000"/>
    <n v="0"/>
    <n v="0"/>
  </r>
  <r>
    <x v="5"/>
    <x v="0"/>
    <x v="0"/>
    <n v="180000"/>
    <n v="192000"/>
    <n v="12000"/>
    <n v="6.6666666666666666E-2"/>
  </r>
  <r>
    <x v="5"/>
    <x v="0"/>
    <x v="1"/>
    <n v="250000"/>
    <n v="280000"/>
    <n v="30000"/>
    <n v="0.12"/>
  </r>
  <r>
    <x v="5"/>
    <x v="1"/>
    <x v="2"/>
    <n v="1250000"/>
    <n v="1270000"/>
    <n v="20000"/>
    <n v="1.6E-2"/>
  </r>
  <r>
    <x v="5"/>
    <x v="1"/>
    <x v="3"/>
    <n v="60000"/>
    <n v="88000"/>
    <n v="28000"/>
    <n v="0.46666666666666667"/>
  </r>
  <r>
    <x v="5"/>
    <x v="2"/>
    <x v="4"/>
    <n v="90000"/>
    <n v="120000"/>
    <n v="30000"/>
    <n v="0.33333333333333331"/>
  </r>
  <r>
    <x v="5"/>
    <x v="3"/>
    <x v="5"/>
    <n v="450000"/>
    <n v="45000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E8E36-98B1-430D-9892-3C1E51B2D9C2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 rowHeaderCaption="Month">
  <location ref="B8:D15" firstHeaderRow="0" firstDataRow="1" firstDataCol="1"/>
  <pivotFields count="7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numFmtId="3" showAll="0"/>
    <pivotField dataField="1" numFmtId="3" showAll="0"/>
    <pivotField numFmtId="3" showAll="0"/>
    <pivotField numFmtId="1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" fld="3" baseField="0" baseItem="0"/>
    <dataField name="Sum of Actual" fld="4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1C3A7-80BB-4E83-BB9F-18DA416D7917}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 rowHeaderCaption="Department">
  <location ref="B5:C10" firstHeaderRow="1" firstDataRow="1" firstDataCol="1"/>
  <pivotFields count="7">
    <pivotField multipleItemSelectionAllowed="1" showAll="0"/>
    <pivotField axis="axisRow" showAll="0">
      <items count="5">
        <item sd="0" x="3"/>
        <item sd="0" x="2"/>
        <item sd="0" x="1"/>
        <item sd="0" x="0"/>
        <item t="default"/>
      </items>
    </pivotField>
    <pivotField showAll="0"/>
    <pivotField numFmtId="3" showAll="0"/>
    <pivotField numFmtId="3" showAll="0"/>
    <pivotField dataField="1" numFmtId="3" showAll="0"/>
    <pivotField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Variance" fld="5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5">
    <chartFormat chart="2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288FD-8E0F-432B-AA30-FA9BD00D64A2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Category">
  <location ref="B4:C11" firstHeaderRow="1" firstDataRow="1" firstDataCol="1"/>
  <pivotFields count="7">
    <pivotField multipleItemSelectionAllowed="1" showAll="0"/>
    <pivotField showAll="0"/>
    <pivotField axis="axisRow" showAll="0">
      <items count="7">
        <item x="4"/>
        <item x="1"/>
        <item x="5"/>
        <item x="3"/>
        <item x="2"/>
        <item x="0"/>
        <item t="default"/>
      </items>
    </pivotField>
    <pivotField numFmtId="3" showAll="0"/>
    <pivotField numFmtId="3" showAll="0"/>
    <pivotField dataField="1" numFmtId="3" showAll="0"/>
    <pivotField numFmtId="1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Variance" fld="5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75C48-4638-4D8B-8EF0-DB53078FBE42}">
  <dimension ref="A1:K37"/>
  <sheetViews>
    <sheetView zoomScale="70" zoomScaleNormal="70" workbookViewId="0">
      <pane ySplit="1" topLeftCell="A2" activePane="bottomLeft" state="frozen"/>
      <selection pane="bottomLeft" activeCell="K16" sqref="K16"/>
    </sheetView>
  </sheetViews>
  <sheetFormatPr defaultRowHeight="14.4" x14ac:dyDescent="0.3"/>
  <cols>
    <col min="1" max="1" width="7.33203125" bestFit="1" customWidth="1"/>
    <col min="2" max="2" width="12.33203125" bestFit="1" customWidth="1"/>
    <col min="3" max="3" width="18.88671875" bestFit="1" customWidth="1"/>
    <col min="4" max="4" width="15.5546875" style="20" bestFit="1" customWidth="1"/>
    <col min="5" max="5" width="15.5546875" style="21" bestFit="1" customWidth="1"/>
    <col min="6" max="6" width="9.109375" bestFit="1" customWidth="1"/>
    <col min="7" max="7" width="11.33203125" bestFit="1" customWidth="1"/>
    <col min="10" max="10" width="24" bestFit="1" customWidth="1"/>
    <col min="11" max="11" width="11.44140625" bestFit="1" customWidth="1"/>
  </cols>
  <sheetData>
    <row r="1" spans="1:11" ht="15.6" x14ac:dyDescent="0.3">
      <c r="A1" s="5" t="s">
        <v>0</v>
      </c>
      <c r="B1" s="5" t="s">
        <v>13</v>
      </c>
      <c r="C1" s="5" t="s">
        <v>14</v>
      </c>
      <c r="D1" s="16" t="s">
        <v>2</v>
      </c>
      <c r="E1" s="17" t="s">
        <v>1</v>
      </c>
      <c r="F1" s="5" t="s">
        <v>21</v>
      </c>
      <c r="G1" s="5" t="s">
        <v>22</v>
      </c>
    </row>
    <row r="2" spans="1:11" ht="15.6" x14ac:dyDescent="0.3">
      <c r="A2" s="6" t="s">
        <v>3</v>
      </c>
      <c r="B2" s="6" t="s">
        <v>9</v>
      </c>
      <c r="C2" s="6" t="s">
        <v>15</v>
      </c>
      <c r="D2" s="18">
        <v>180000</v>
      </c>
      <c r="E2" s="19">
        <v>185000</v>
      </c>
      <c r="F2" s="7">
        <f>E2-D2</f>
        <v>5000</v>
      </c>
      <c r="G2" s="8">
        <f>IF(D2=0,"",(E2-D2)/D2)</f>
        <v>2.7777777777777776E-2</v>
      </c>
    </row>
    <row r="3" spans="1:11" ht="15.6" x14ac:dyDescent="0.3">
      <c r="A3" s="6" t="s">
        <v>3</v>
      </c>
      <c r="B3" s="6" t="s">
        <v>9</v>
      </c>
      <c r="C3" s="6" t="s">
        <v>16</v>
      </c>
      <c r="D3" s="18">
        <v>250000</v>
      </c>
      <c r="E3" s="19">
        <v>242000</v>
      </c>
      <c r="F3" s="7">
        <f t="shared" ref="F3:F37" si="0">E3-D3</f>
        <v>-8000</v>
      </c>
      <c r="G3" s="8">
        <f t="shared" ref="G3:G37" si="1">IF(D3=0,"",(E3-D3)/D3)</f>
        <v>-3.2000000000000001E-2</v>
      </c>
      <c r="J3" s="25"/>
      <c r="K3" s="25"/>
    </row>
    <row r="4" spans="1:11" ht="15.6" x14ac:dyDescent="0.3">
      <c r="A4" s="6" t="s">
        <v>3</v>
      </c>
      <c r="B4" s="6" t="s">
        <v>10</v>
      </c>
      <c r="C4" s="6" t="s">
        <v>17</v>
      </c>
      <c r="D4" s="18">
        <v>1200000</v>
      </c>
      <c r="E4" s="19">
        <v>1195000</v>
      </c>
      <c r="F4" s="7">
        <f t="shared" si="0"/>
        <v>-5000</v>
      </c>
      <c r="G4" s="8">
        <f t="shared" si="1"/>
        <v>-4.1666666666666666E-3</v>
      </c>
      <c r="J4" s="25"/>
      <c r="K4" s="26"/>
    </row>
    <row r="5" spans="1:11" ht="15.6" x14ac:dyDescent="0.3">
      <c r="A5" s="6" t="s">
        <v>3</v>
      </c>
      <c r="B5" s="6" t="s">
        <v>10</v>
      </c>
      <c r="C5" s="6" t="s">
        <v>18</v>
      </c>
      <c r="D5" s="18">
        <v>75000</v>
      </c>
      <c r="E5" s="19">
        <v>82000</v>
      </c>
      <c r="F5" s="7">
        <f t="shared" si="0"/>
        <v>7000</v>
      </c>
      <c r="G5" s="8">
        <f t="shared" si="1"/>
        <v>9.3333333333333338E-2</v>
      </c>
      <c r="J5" s="25"/>
      <c r="K5" s="26"/>
    </row>
    <row r="6" spans="1:11" ht="15.6" x14ac:dyDescent="0.3">
      <c r="A6" s="6" t="s">
        <v>3</v>
      </c>
      <c r="B6" s="6" t="s">
        <v>11</v>
      </c>
      <c r="C6" s="6" t="s">
        <v>19</v>
      </c>
      <c r="D6" s="18">
        <v>120000</v>
      </c>
      <c r="E6" s="19">
        <v>110000</v>
      </c>
      <c r="F6" s="7">
        <f t="shared" si="0"/>
        <v>-10000</v>
      </c>
      <c r="G6" s="8">
        <f t="shared" si="1"/>
        <v>-8.3333333333333329E-2</v>
      </c>
      <c r="J6" s="25"/>
      <c r="K6" s="26"/>
    </row>
    <row r="7" spans="1:11" ht="15.6" x14ac:dyDescent="0.3">
      <c r="A7" s="6" t="s">
        <v>3</v>
      </c>
      <c r="B7" s="6" t="s">
        <v>12</v>
      </c>
      <c r="C7" s="6" t="s">
        <v>20</v>
      </c>
      <c r="D7" s="18">
        <v>450000</v>
      </c>
      <c r="E7" s="19">
        <v>450000</v>
      </c>
      <c r="F7" s="7">
        <f t="shared" si="0"/>
        <v>0</v>
      </c>
      <c r="G7" s="8">
        <f t="shared" si="1"/>
        <v>0</v>
      </c>
      <c r="J7" s="25"/>
      <c r="K7" s="27"/>
    </row>
    <row r="8" spans="1:11" ht="15.6" x14ac:dyDescent="0.3">
      <c r="A8" s="6" t="s">
        <v>4</v>
      </c>
      <c r="B8" s="6" t="s">
        <v>9</v>
      </c>
      <c r="C8" s="6" t="s">
        <v>15</v>
      </c>
      <c r="D8" s="18">
        <v>180000</v>
      </c>
      <c r="E8" s="19">
        <v>178000</v>
      </c>
      <c r="F8" s="7">
        <f t="shared" si="0"/>
        <v>-2000</v>
      </c>
      <c r="G8" s="8">
        <f t="shared" si="1"/>
        <v>-1.1111111111111112E-2</v>
      </c>
      <c r="J8" s="9"/>
      <c r="K8" s="9"/>
    </row>
    <row r="9" spans="1:11" ht="15.6" x14ac:dyDescent="0.3">
      <c r="A9" s="6" t="s">
        <v>4</v>
      </c>
      <c r="B9" s="6" t="s">
        <v>9</v>
      </c>
      <c r="C9" s="6" t="s">
        <v>16</v>
      </c>
      <c r="D9" s="18">
        <v>250000</v>
      </c>
      <c r="E9" s="19">
        <v>255000</v>
      </c>
      <c r="F9" s="7">
        <f t="shared" si="0"/>
        <v>5000</v>
      </c>
      <c r="G9" s="8">
        <f t="shared" si="1"/>
        <v>0.02</v>
      </c>
    </row>
    <row r="10" spans="1:11" ht="15.6" x14ac:dyDescent="0.3">
      <c r="A10" s="6" t="s">
        <v>4</v>
      </c>
      <c r="B10" s="6" t="s">
        <v>10</v>
      </c>
      <c r="C10" s="6" t="s">
        <v>17</v>
      </c>
      <c r="D10" s="18">
        <v>1200000</v>
      </c>
      <c r="E10" s="19">
        <v>1205000</v>
      </c>
      <c r="F10" s="7">
        <f t="shared" si="0"/>
        <v>5000</v>
      </c>
      <c r="G10" s="8">
        <f t="shared" si="1"/>
        <v>4.1666666666666666E-3</v>
      </c>
    </row>
    <row r="11" spans="1:11" ht="15.6" x14ac:dyDescent="0.3">
      <c r="A11" s="6" t="s">
        <v>4</v>
      </c>
      <c r="B11" s="6" t="s">
        <v>10</v>
      </c>
      <c r="C11" s="6" t="s">
        <v>18</v>
      </c>
      <c r="D11" s="18">
        <v>75000</v>
      </c>
      <c r="E11" s="19">
        <v>70000</v>
      </c>
      <c r="F11" s="7">
        <f t="shared" si="0"/>
        <v>-5000</v>
      </c>
      <c r="G11" s="8">
        <f t="shared" si="1"/>
        <v>-6.6666666666666666E-2</v>
      </c>
    </row>
    <row r="12" spans="1:11" ht="15.6" x14ac:dyDescent="0.3">
      <c r="A12" s="6" t="s">
        <v>4</v>
      </c>
      <c r="B12" s="6" t="s">
        <v>11</v>
      </c>
      <c r="C12" s="6" t="s">
        <v>19</v>
      </c>
      <c r="D12" s="18">
        <v>120000</v>
      </c>
      <c r="E12" s="19">
        <v>125000</v>
      </c>
      <c r="F12" s="7">
        <f t="shared" si="0"/>
        <v>5000</v>
      </c>
      <c r="G12" s="8">
        <f t="shared" si="1"/>
        <v>4.1666666666666664E-2</v>
      </c>
    </row>
    <row r="13" spans="1:11" ht="15.6" x14ac:dyDescent="0.3">
      <c r="A13" s="6" t="s">
        <v>4</v>
      </c>
      <c r="B13" s="6" t="s">
        <v>12</v>
      </c>
      <c r="C13" s="6" t="s">
        <v>20</v>
      </c>
      <c r="D13" s="18">
        <v>450000</v>
      </c>
      <c r="E13" s="19">
        <v>450000</v>
      </c>
      <c r="F13" s="7">
        <f t="shared" si="0"/>
        <v>0</v>
      </c>
      <c r="G13" s="8">
        <f t="shared" si="1"/>
        <v>0</v>
      </c>
    </row>
    <row r="14" spans="1:11" ht="15.6" x14ac:dyDescent="0.3">
      <c r="A14" s="6" t="s">
        <v>5</v>
      </c>
      <c r="B14" s="6" t="s">
        <v>9</v>
      </c>
      <c r="C14" s="6" t="s">
        <v>15</v>
      </c>
      <c r="D14" s="18">
        <v>180000</v>
      </c>
      <c r="E14" s="19">
        <v>190000</v>
      </c>
      <c r="F14" s="7">
        <f t="shared" si="0"/>
        <v>10000</v>
      </c>
      <c r="G14" s="8">
        <f t="shared" si="1"/>
        <v>5.5555555555555552E-2</v>
      </c>
    </row>
    <row r="15" spans="1:11" ht="15.6" x14ac:dyDescent="0.3">
      <c r="A15" s="6" t="s">
        <v>5</v>
      </c>
      <c r="B15" s="6" t="s">
        <v>9</v>
      </c>
      <c r="C15" s="6" t="s">
        <v>16</v>
      </c>
      <c r="D15" s="18">
        <v>250000</v>
      </c>
      <c r="E15" s="19">
        <v>270000</v>
      </c>
      <c r="F15" s="7">
        <f t="shared" si="0"/>
        <v>20000</v>
      </c>
      <c r="G15" s="8">
        <f t="shared" si="1"/>
        <v>0.08</v>
      </c>
    </row>
    <row r="16" spans="1:11" ht="15.6" x14ac:dyDescent="0.3">
      <c r="A16" s="6" t="s">
        <v>5</v>
      </c>
      <c r="B16" s="6" t="s">
        <v>10</v>
      </c>
      <c r="C16" s="6" t="s">
        <v>17</v>
      </c>
      <c r="D16" s="18">
        <v>1200000</v>
      </c>
      <c r="E16" s="19">
        <v>1210000</v>
      </c>
      <c r="F16" s="7">
        <f t="shared" si="0"/>
        <v>10000</v>
      </c>
      <c r="G16" s="8">
        <f t="shared" si="1"/>
        <v>8.3333333333333332E-3</v>
      </c>
    </row>
    <row r="17" spans="1:7" ht="15.6" x14ac:dyDescent="0.3">
      <c r="A17" s="6" t="s">
        <v>5</v>
      </c>
      <c r="B17" s="6" t="s">
        <v>10</v>
      </c>
      <c r="C17" s="6" t="s">
        <v>18</v>
      </c>
      <c r="D17" s="18">
        <v>75000</v>
      </c>
      <c r="E17" s="19">
        <v>95000</v>
      </c>
      <c r="F17" s="7">
        <f t="shared" si="0"/>
        <v>20000</v>
      </c>
      <c r="G17" s="8">
        <f t="shared" si="1"/>
        <v>0.26666666666666666</v>
      </c>
    </row>
    <row r="18" spans="1:7" ht="15.6" x14ac:dyDescent="0.3">
      <c r="A18" s="6" t="s">
        <v>5</v>
      </c>
      <c r="B18" s="6" t="s">
        <v>11</v>
      </c>
      <c r="C18" s="6" t="s">
        <v>19</v>
      </c>
      <c r="D18" s="18">
        <v>120000</v>
      </c>
      <c r="E18" s="19">
        <v>135000</v>
      </c>
      <c r="F18" s="7">
        <f t="shared" si="0"/>
        <v>15000</v>
      </c>
      <c r="G18" s="8">
        <f t="shared" si="1"/>
        <v>0.125</v>
      </c>
    </row>
    <row r="19" spans="1:7" ht="15.6" x14ac:dyDescent="0.3">
      <c r="A19" s="6" t="s">
        <v>5</v>
      </c>
      <c r="B19" s="6" t="s">
        <v>12</v>
      </c>
      <c r="C19" s="6" t="s">
        <v>20</v>
      </c>
      <c r="D19" s="18">
        <v>450000</v>
      </c>
      <c r="E19" s="19">
        <v>450000</v>
      </c>
      <c r="F19" s="7">
        <f t="shared" si="0"/>
        <v>0</v>
      </c>
      <c r="G19" s="8">
        <f t="shared" si="1"/>
        <v>0</v>
      </c>
    </row>
    <row r="20" spans="1:7" ht="15.6" x14ac:dyDescent="0.3">
      <c r="A20" s="6" t="s">
        <v>6</v>
      </c>
      <c r="B20" s="6" t="s">
        <v>9</v>
      </c>
      <c r="C20" s="6" t="s">
        <v>15</v>
      </c>
      <c r="D20" s="18">
        <v>180000</v>
      </c>
      <c r="E20" s="19">
        <v>176000</v>
      </c>
      <c r="F20" s="7">
        <f t="shared" si="0"/>
        <v>-4000</v>
      </c>
      <c r="G20" s="8">
        <f t="shared" si="1"/>
        <v>-2.2222222222222223E-2</v>
      </c>
    </row>
    <row r="21" spans="1:7" ht="15.6" x14ac:dyDescent="0.3">
      <c r="A21" s="6" t="s">
        <v>6</v>
      </c>
      <c r="B21" s="6" t="s">
        <v>9</v>
      </c>
      <c r="C21" s="6" t="s">
        <v>16</v>
      </c>
      <c r="D21" s="18">
        <v>250000</v>
      </c>
      <c r="E21" s="19">
        <v>248000</v>
      </c>
      <c r="F21" s="7">
        <f t="shared" si="0"/>
        <v>-2000</v>
      </c>
      <c r="G21" s="8">
        <f t="shared" si="1"/>
        <v>-8.0000000000000002E-3</v>
      </c>
    </row>
    <row r="22" spans="1:7" ht="15.6" x14ac:dyDescent="0.3">
      <c r="A22" s="6" t="s">
        <v>6</v>
      </c>
      <c r="B22" s="6" t="s">
        <v>10</v>
      </c>
      <c r="C22" s="6" t="s">
        <v>17</v>
      </c>
      <c r="D22" s="18">
        <v>1250000</v>
      </c>
      <c r="E22" s="19">
        <v>1245000</v>
      </c>
      <c r="F22" s="7">
        <f t="shared" si="0"/>
        <v>-5000</v>
      </c>
      <c r="G22" s="8">
        <f t="shared" si="1"/>
        <v>-4.0000000000000001E-3</v>
      </c>
    </row>
    <row r="23" spans="1:7" ht="15.6" x14ac:dyDescent="0.3">
      <c r="A23" s="6" t="s">
        <v>6</v>
      </c>
      <c r="B23" s="6" t="s">
        <v>10</v>
      </c>
      <c r="C23" s="6" t="s">
        <v>18</v>
      </c>
      <c r="D23" s="18">
        <v>60000</v>
      </c>
      <c r="E23" s="19">
        <v>55000</v>
      </c>
      <c r="F23" s="7">
        <f t="shared" si="0"/>
        <v>-5000</v>
      </c>
      <c r="G23" s="8">
        <f t="shared" si="1"/>
        <v>-8.3333333333333329E-2</v>
      </c>
    </row>
    <row r="24" spans="1:7" ht="15.6" x14ac:dyDescent="0.3">
      <c r="A24" s="6" t="s">
        <v>6</v>
      </c>
      <c r="B24" s="6" t="s">
        <v>11</v>
      </c>
      <c r="C24" s="6" t="s">
        <v>19</v>
      </c>
      <c r="D24" s="18">
        <v>90000</v>
      </c>
      <c r="E24" s="19">
        <v>85000</v>
      </c>
      <c r="F24" s="7">
        <f t="shared" si="0"/>
        <v>-5000</v>
      </c>
      <c r="G24" s="8">
        <f t="shared" si="1"/>
        <v>-5.5555555555555552E-2</v>
      </c>
    </row>
    <row r="25" spans="1:7" ht="15.6" x14ac:dyDescent="0.3">
      <c r="A25" s="6" t="s">
        <v>6</v>
      </c>
      <c r="B25" s="6" t="s">
        <v>12</v>
      </c>
      <c r="C25" s="6" t="s">
        <v>20</v>
      </c>
      <c r="D25" s="18">
        <v>450000</v>
      </c>
      <c r="E25" s="19">
        <v>450000</v>
      </c>
      <c r="F25" s="7">
        <f t="shared" si="0"/>
        <v>0</v>
      </c>
      <c r="G25" s="8">
        <f t="shared" si="1"/>
        <v>0</v>
      </c>
    </row>
    <row r="26" spans="1:7" ht="15.6" x14ac:dyDescent="0.3">
      <c r="A26" s="6" t="s">
        <v>7</v>
      </c>
      <c r="B26" s="6" t="s">
        <v>9</v>
      </c>
      <c r="C26" s="6" t="s">
        <v>15</v>
      </c>
      <c r="D26" s="18">
        <v>180000</v>
      </c>
      <c r="E26" s="19">
        <v>188000</v>
      </c>
      <c r="F26" s="7">
        <f t="shared" si="0"/>
        <v>8000</v>
      </c>
      <c r="G26" s="8">
        <f t="shared" si="1"/>
        <v>4.4444444444444446E-2</v>
      </c>
    </row>
    <row r="27" spans="1:7" ht="15.6" x14ac:dyDescent="0.3">
      <c r="A27" s="6" t="s">
        <v>7</v>
      </c>
      <c r="B27" s="6" t="s">
        <v>9</v>
      </c>
      <c r="C27" s="6" t="s">
        <v>16</v>
      </c>
      <c r="D27" s="18">
        <v>250000</v>
      </c>
      <c r="E27" s="19">
        <v>265000</v>
      </c>
      <c r="F27" s="7">
        <f t="shared" si="0"/>
        <v>15000</v>
      </c>
      <c r="G27" s="8">
        <f t="shared" si="1"/>
        <v>0.06</v>
      </c>
    </row>
    <row r="28" spans="1:7" ht="15.6" x14ac:dyDescent="0.3">
      <c r="A28" s="6" t="s">
        <v>7</v>
      </c>
      <c r="B28" s="6" t="s">
        <v>10</v>
      </c>
      <c r="C28" s="6" t="s">
        <v>17</v>
      </c>
      <c r="D28" s="18">
        <v>1250000</v>
      </c>
      <c r="E28" s="19">
        <v>1260000</v>
      </c>
      <c r="F28" s="7">
        <f t="shared" si="0"/>
        <v>10000</v>
      </c>
      <c r="G28" s="8">
        <f t="shared" si="1"/>
        <v>8.0000000000000002E-3</v>
      </c>
    </row>
    <row r="29" spans="1:7" ht="15.6" x14ac:dyDescent="0.3">
      <c r="A29" s="6" t="s">
        <v>7</v>
      </c>
      <c r="B29" s="6" t="s">
        <v>10</v>
      </c>
      <c r="C29" s="6" t="s">
        <v>18</v>
      </c>
      <c r="D29" s="18">
        <v>60000</v>
      </c>
      <c r="E29" s="19">
        <v>72000</v>
      </c>
      <c r="F29" s="7">
        <f t="shared" si="0"/>
        <v>12000</v>
      </c>
      <c r="G29" s="8">
        <f t="shared" si="1"/>
        <v>0.2</v>
      </c>
    </row>
    <row r="30" spans="1:7" ht="15.6" x14ac:dyDescent="0.3">
      <c r="A30" s="6" t="s">
        <v>7</v>
      </c>
      <c r="B30" s="6" t="s">
        <v>11</v>
      </c>
      <c r="C30" s="6" t="s">
        <v>19</v>
      </c>
      <c r="D30" s="18">
        <v>90000</v>
      </c>
      <c r="E30" s="19">
        <v>105000</v>
      </c>
      <c r="F30" s="7">
        <f t="shared" si="0"/>
        <v>15000</v>
      </c>
      <c r="G30" s="8">
        <f t="shared" si="1"/>
        <v>0.16666666666666666</v>
      </c>
    </row>
    <row r="31" spans="1:7" ht="15.6" x14ac:dyDescent="0.3">
      <c r="A31" s="6" t="s">
        <v>7</v>
      </c>
      <c r="B31" s="6" t="s">
        <v>12</v>
      </c>
      <c r="C31" s="6" t="s">
        <v>20</v>
      </c>
      <c r="D31" s="18">
        <v>450000</v>
      </c>
      <c r="E31" s="19">
        <v>450000</v>
      </c>
      <c r="F31" s="7">
        <f t="shared" si="0"/>
        <v>0</v>
      </c>
      <c r="G31" s="8">
        <f t="shared" si="1"/>
        <v>0</v>
      </c>
    </row>
    <row r="32" spans="1:7" ht="15.6" x14ac:dyDescent="0.3">
      <c r="A32" s="6" t="s">
        <v>8</v>
      </c>
      <c r="B32" s="6" t="s">
        <v>9</v>
      </c>
      <c r="C32" s="6" t="s">
        <v>15</v>
      </c>
      <c r="D32" s="18">
        <v>180000</v>
      </c>
      <c r="E32" s="19">
        <v>192000</v>
      </c>
      <c r="F32" s="7">
        <f t="shared" si="0"/>
        <v>12000</v>
      </c>
      <c r="G32" s="8">
        <f t="shared" si="1"/>
        <v>6.6666666666666666E-2</v>
      </c>
    </row>
    <row r="33" spans="1:7" ht="15.6" x14ac:dyDescent="0.3">
      <c r="A33" s="6" t="s">
        <v>8</v>
      </c>
      <c r="B33" s="6" t="s">
        <v>9</v>
      </c>
      <c r="C33" s="6" t="s">
        <v>16</v>
      </c>
      <c r="D33" s="18">
        <v>250000</v>
      </c>
      <c r="E33" s="19">
        <v>280000</v>
      </c>
      <c r="F33" s="7">
        <f t="shared" si="0"/>
        <v>30000</v>
      </c>
      <c r="G33" s="8">
        <f t="shared" si="1"/>
        <v>0.12</v>
      </c>
    </row>
    <row r="34" spans="1:7" ht="15.6" x14ac:dyDescent="0.3">
      <c r="A34" s="6" t="s">
        <v>8</v>
      </c>
      <c r="B34" s="6" t="s">
        <v>10</v>
      </c>
      <c r="C34" s="6" t="s">
        <v>17</v>
      </c>
      <c r="D34" s="18">
        <v>1250000</v>
      </c>
      <c r="E34" s="19">
        <v>1270000</v>
      </c>
      <c r="F34" s="7">
        <f t="shared" si="0"/>
        <v>20000</v>
      </c>
      <c r="G34" s="8">
        <f t="shared" si="1"/>
        <v>1.6E-2</v>
      </c>
    </row>
    <row r="35" spans="1:7" ht="15.6" x14ac:dyDescent="0.3">
      <c r="A35" s="6" t="s">
        <v>8</v>
      </c>
      <c r="B35" s="6" t="s">
        <v>10</v>
      </c>
      <c r="C35" s="6" t="s">
        <v>18</v>
      </c>
      <c r="D35" s="18">
        <v>60000</v>
      </c>
      <c r="E35" s="19">
        <v>88000</v>
      </c>
      <c r="F35" s="7">
        <f t="shared" si="0"/>
        <v>28000</v>
      </c>
      <c r="G35" s="8">
        <f t="shared" si="1"/>
        <v>0.46666666666666667</v>
      </c>
    </row>
    <row r="36" spans="1:7" ht="15.6" x14ac:dyDescent="0.3">
      <c r="A36" s="6" t="s">
        <v>8</v>
      </c>
      <c r="B36" s="6" t="s">
        <v>11</v>
      </c>
      <c r="C36" s="6" t="s">
        <v>19</v>
      </c>
      <c r="D36" s="18">
        <v>90000</v>
      </c>
      <c r="E36" s="19">
        <v>120000</v>
      </c>
      <c r="F36" s="7">
        <f t="shared" si="0"/>
        <v>30000</v>
      </c>
      <c r="G36" s="8">
        <f t="shared" si="1"/>
        <v>0.33333333333333331</v>
      </c>
    </row>
    <row r="37" spans="1:7" ht="15.6" x14ac:dyDescent="0.3">
      <c r="A37" s="6" t="s">
        <v>8</v>
      </c>
      <c r="B37" s="6" t="s">
        <v>12</v>
      </c>
      <c r="C37" s="6" t="s">
        <v>20</v>
      </c>
      <c r="D37" s="18">
        <v>450000</v>
      </c>
      <c r="E37" s="19">
        <v>450000</v>
      </c>
      <c r="F37" s="7">
        <f t="shared" si="0"/>
        <v>0</v>
      </c>
      <c r="G37" s="8">
        <f t="shared" si="1"/>
        <v>0</v>
      </c>
    </row>
  </sheetData>
  <conditionalFormatting sqref="F2:F37">
    <cfRule type="cellIs" dxfId="20" priority="3" operator="greaterThan">
      <formula>0</formula>
    </cfRule>
  </conditionalFormatting>
  <conditionalFormatting sqref="F1:F37">
    <cfRule type="cellIs" dxfId="19" priority="1" operator="lessThan">
      <formula>0</formula>
    </cfRule>
    <cfRule type="cellIs" dxfId="18" priority="2" operator="lessThan">
      <formula>0</formula>
    </cfRule>
  </conditionalFormatting>
  <pageMargins left="0.7" right="0.7" top="0.75" bottom="0.75" header="0.3" footer="0.3"/>
  <pageSetup orientation="portrait" r:id="rId1"/>
  <ignoredErrors>
    <ignoredError sqref="A2:G37 B1:C1 F1:G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7CDD-5821-4442-B44F-B1D489A966FA}">
  <dimension ref="B1:R83"/>
  <sheetViews>
    <sheetView showGridLines="0" zoomScale="87" workbookViewId="0">
      <selection activeCell="L3" sqref="L3:N3"/>
    </sheetView>
  </sheetViews>
  <sheetFormatPr defaultRowHeight="14.4" x14ac:dyDescent="0.3"/>
  <cols>
    <col min="2" max="2" width="11.21875" bestFit="1" customWidth="1"/>
    <col min="3" max="3" width="13.88671875" bestFit="1" customWidth="1"/>
    <col min="4" max="4" width="13.21875" bestFit="1" customWidth="1"/>
    <col min="5" max="6" width="8" bestFit="1" customWidth="1"/>
    <col min="7" max="7" width="11.21875" bestFit="1" customWidth="1"/>
    <col min="8" max="8" width="7" bestFit="1" customWidth="1"/>
    <col min="9" max="9" width="11.21875" bestFit="1" customWidth="1"/>
    <col min="10" max="10" width="3.33203125" bestFit="1" customWidth="1"/>
    <col min="11" max="11" width="5" customWidth="1"/>
    <col min="12" max="12" width="8.88671875" bestFit="1" customWidth="1"/>
    <col min="13" max="13" width="10.88671875" customWidth="1"/>
    <col min="14" max="14" width="12.6640625" customWidth="1"/>
    <col min="15" max="16" width="6" bestFit="1" customWidth="1"/>
    <col min="17" max="17" width="9.44140625" bestFit="1" customWidth="1"/>
    <col min="18" max="18" width="6.6640625" bestFit="1" customWidth="1"/>
    <col min="19" max="19" width="7.5546875" bestFit="1" customWidth="1"/>
    <col min="20" max="20" width="6.6640625" bestFit="1" customWidth="1"/>
    <col min="21" max="21" width="5.6640625" bestFit="1" customWidth="1"/>
    <col min="22" max="22" width="9" bestFit="1" customWidth="1"/>
    <col min="23" max="23" width="6.77734375" bestFit="1" customWidth="1"/>
    <col min="24" max="24" width="7.5546875" bestFit="1" customWidth="1"/>
    <col min="25" max="26" width="6" bestFit="1" customWidth="1"/>
    <col min="27" max="27" width="9.6640625" bestFit="1" customWidth="1"/>
    <col min="28" max="28" width="6.6640625" bestFit="1" customWidth="1"/>
    <col min="29" max="29" width="7.5546875" bestFit="1" customWidth="1"/>
    <col min="30" max="31" width="6" bestFit="1" customWidth="1"/>
    <col min="32" max="32" width="8.77734375" bestFit="1" customWidth="1"/>
    <col min="33" max="33" width="11.21875" bestFit="1" customWidth="1"/>
  </cols>
  <sheetData>
    <row r="1" spans="2:18" x14ac:dyDescent="0.3">
      <c r="B1" s="3"/>
    </row>
    <row r="2" spans="2:18" x14ac:dyDescent="0.3">
      <c r="B2" s="3"/>
      <c r="C2" s="4"/>
    </row>
    <row r="3" spans="2:18" ht="18" x14ac:dyDescent="0.35">
      <c r="B3" s="3"/>
      <c r="C3" s="4"/>
      <c r="L3" s="28"/>
      <c r="M3" s="28"/>
      <c r="N3" s="28"/>
      <c r="Q3" s="29" t="s">
        <v>27</v>
      </c>
      <c r="R3" s="29"/>
    </row>
    <row r="4" spans="2:18" x14ac:dyDescent="0.3">
      <c r="B4" s="3"/>
      <c r="C4" s="4"/>
    </row>
    <row r="8" spans="2:18" x14ac:dyDescent="0.3">
      <c r="B8" s="12" t="s">
        <v>0</v>
      </c>
      <c r="C8" s="13" t="s">
        <v>24</v>
      </c>
      <c r="D8" s="13" t="s">
        <v>25</v>
      </c>
    </row>
    <row r="9" spans="2:18" x14ac:dyDescent="0.3">
      <c r="B9" s="14" t="s">
        <v>3</v>
      </c>
      <c r="C9" s="15">
        <v>2275000</v>
      </c>
      <c r="D9" s="15">
        <v>2264000</v>
      </c>
    </row>
    <row r="10" spans="2:18" x14ac:dyDescent="0.3">
      <c r="B10" s="14" t="s">
        <v>4</v>
      </c>
      <c r="C10" s="15">
        <v>2275000</v>
      </c>
      <c r="D10" s="15">
        <v>2283000</v>
      </c>
    </row>
    <row r="11" spans="2:18" x14ac:dyDescent="0.3">
      <c r="B11" s="14" t="s">
        <v>5</v>
      </c>
      <c r="C11" s="15">
        <v>2275000</v>
      </c>
      <c r="D11" s="15">
        <v>2350000</v>
      </c>
    </row>
    <row r="12" spans="2:18" x14ac:dyDescent="0.3">
      <c r="B12" s="14" t="s">
        <v>6</v>
      </c>
      <c r="C12" s="15">
        <v>2280000</v>
      </c>
      <c r="D12" s="15">
        <v>2259000</v>
      </c>
    </row>
    <row r="13" spans="2:18" x14ac:dyDescent="0.3">
      <c r="B13" s="14" t="s">
        <v>7</v>
      </c>
      <c r="C13" s="15">
        <v>2280000</v>
      </c>
      <c r="D13" s="15">
        <v>2340000</v>
      </c>
    </row>
    <row r="14" spans="2:18" x14ac:dyDescent="0.3">
      <c r="B14" s="14" t="s">
        <v>8</v>
      </c>
      <c r="C14" s="15">
        <v>2280000</v>
      </c>
      <c r="D14" s="15">
        <v>2400000</v>
      </c>
    </row>
    <row r="15" spans="2:18" x14ac:dyDescent="0.3">
      <c r="B15" s="14" t="s">
        <v>23</v>
      </c>
      <c r="C15" s="15">
        <v>13665000</v>
      </c>
      <c r="D15" s="15">
        <v>13896000</v>
      </c>
    </row>
    <row r="46" spans="9:11" x14ac:dyDescent="0.3">
      <c r="I46" s="3"/>
      <c r="K46" s="3"/>
    </row>
    <row r="51" spans="4:14" x14ac:dyDescent="0.3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77" spans="9:18" x14ac:dyDescent="0.3">
      <c r="I77" s="1"/>
      <c r="J77" s="1"/>
      <c r="K77" s="1"/>
      <c r="L77" s="1"/>
      <c r="M77" s="1"/>
      <c r="N77" s="1"/>
      <c r="O77" s="1"/>
      <c r="P77" s="1"/>
      <c r="Q77" s="1"/>
      <c r="R77" s="1"/>
    </row>
    <row r="80" spans="9:18" x14ac:dyDescent="0.3">
      <c r="I80" s="1"/>
      <c r="J80" s="1"/>
      <c r="K80" s="1"/>
      <c r="L80" s="1"/>
      <c r="M80" s="1"/>
    </row>
    <row r="81" spans="4:7" x14ac:dyDescent="0.3">
      <c r="D81" s="2"/>
      <c r="E81" s="2"/>
      <c r="F81" s="2"/>
      <c r="G81" s="2"/>
    </row>
    <row r="82" spans="4:7" x14ac:dyDescent="0.3">
      <c r="D82" s="2"/>
      <c r="E82" s="2"/>
      <c r="F82" s="2"/>
      <c r="G82" s="2"/>
    </row>
    <row r="83" spans="4:7" x14ac:dyDescent="0.3">
      <c r="D83" s="2"/>
      <c r="E83" s="2"/>
      <c r="F83" s="2"/>
      <c r="G83" s="2"/>
    </row>
  </sheetData>
  <mergeCells count="2">
    <mergeCell ref="L3:N3"/>
    <mergeCell ref="Q3:R3"/>
  </mergeCell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446F-9F39-4CC9-9BB2-E9C51604EC2C}">
  <dimension ref="B2:P10"/>
  <sheetViews>
    <sheetView showGridLines="0" workbookViewId="0">
      <selection activeCell="I23" sqref="I23"/>
    </sheetView>
  </sheetViews>
  <sheetFormatPr defaultRowHeight="14.4" x14ac:dyDescent="0.3"/>
  <cols>
    <col min="1" max="1" width="8.88671875" style="9"/>
    <col min="2" max="2" width="13.33203125" style="9" bestFit="1" customWidth="1"/>
    <col min="3" max="3" width="14.88671875" style="9" bestFit="1" customWidth="1"/>
    <col min="4" max="16384" width="8.88671875" style="9"/>
  </cols>
  <sheetData>
    <row r="2" spans="2:16" ht="18" x14ac:dyDescent="0.35">
      <c r="J2" s="30"/>
      <c r="K2" s="30"/>
      <c r="L2" s="30"/>
      <c r="O2" s="29" t="s">
        <v>27</v>
      </c>
      <c r="P2" s="29"/>
    </row>
    <row r="5" spans="2:16" x14ac:dyDescent="0.3">
      <c r="B5" s="12" t="s">
        <v>13</v>
      </c>
      <c r="C5" s="13" t="s">
        <v>26</v>
      </c>
    </row>
    <row r="6" spans="2:16" x14ac:dyDescent="0.3">
      <c r="B6" s="14" t="s">
        <v>12</v>
      </c>
      <c r="C6" s="15">
        <v>0</v>
      </c>
    </row>
    <row r="7" spans="2:16" x14ac:dyDescent="0.3">
      <c r="B7" s="14" t="s">
        <v>11</v>
      </c>
      <c r="C7" s="15">
        <v>50000</v>
      </c>
    </row>
    <row r="8" spans="2:16" x14ac:dyDescent="0.3">
      <c r="B8" s="14" t="s">
        <v>10</v>
      </c>
      <c r="C8" s="15">
        <v>92000</v>
      </c>
    </row>
    <row r="9" spans="2:16" x14ac:dyDescent="0.3">
      <c r="B9" s="14" t="s">
        <v>9</v>
      </c>
      <c r="C9" s="15">
        <v>89000</v>
      </c>
    </row>
    <row r="10" spans="2:16" x14ac:dyDescent="0.3">
      <c r="B10" s="14" t="s">
        <v>23</v>
      </c>
      <c r="C10" s="15">
        <v>231000</v>
      </c>
    </row>
  </sheetData>
  <mergeCells count="2">
    <mergeCell ref="J2:L2"/>
    <mergeCell ref="O2:P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1312-64AB-44BA-89E6-8670F644B68D}">
  <dimension ref="B1:O11"/>
  <sheetViews>
    <sheetView showGridLines="0" workbookViewId="0">
      <selection activeCell="I2" sqref="I2"/>
    </sheetView>
  </sheetViews>
  <sheetFormatPr defaultRowHeight="14.4" x14ac:dyDescent="0.3"/>
  <cols>
    <col min="2" max="2" width="16" bestFit="1" customWidth="1"/>
    <col min="3" max="3" width="14.88671875" bestFit="1" customWidth="1"/>
    <col min="7" max="7" width="3.88671875" customWidth="1"/>
    <col min="8" max="8" width="12.5546875" customWidth="1"/>
    <col min="9" max="9" width="14.5546875" customWidth="1"/>
  </cols>
  <sheetData>
    <row r="1" spans="2:15" ht="14.4" customHeight="1" x14ac:dyDescent="0.35">
      <c r="H1" s="11"/>
      <c r="I1" s="11"/>
    </row>
    <row r="2" spans="2:15" ht="18" customHeight="1" x14ac:dyDescent="0.35">
      <c r="H2" s="11"/>
      <c r="I2" s="10"/>
      <c r="N2" s="29" t="s">
        <v>27</v>
      </c>
      <c r="O2" s="29"/>
    </row>
    <row r="4" spans="2:15" x14ac:dyDescent="0.3">
      <c r="B4" s="12" t="s">
        <v>14</v>
      </c>
      <c r="C4" s="13" t="s">
        <v>26</v>
      </c>
    </row>
    <row r="5" spans="2:15" x14ac:dyDescent="0.3">
      <c r="B5" s="14" t="s">
        <v>19</v>
      </c>
      <c r="C5" s="15">
        <v>50000</v>
      </c>
    </row>
    <row r="6" spans="2:15" x14ac:dyDescent="0.3">
      <c r="B6" s="14" t="s">
        <v>16</v>
      </c>
      <c r="C6" s="15">
        <v>60000</v>
      </c>
    </row>
    <row r="7" spans="2:15" x14ac:dyDescent="0.3">
      <c r="B7" s="14" t="s">
        <v>20</v>
      </c>
      <c r="C7" s="15">
        <v>0</v>
      </c>
    </row>
    <row r="8" spans="2:15" x14ac:dyDescent="0.3">
      <c r="B8" s="14" t="s">
        <v>18</v>
      </c>
      <c r="C8" s="15">
        <v>57000</v>
      </c>
    </row>
    <row r="9" spans="2:15" x14ac:dyDescent="0.3">
      <c r="B9" s="14" t="s">
        <v>17</v>
      </c>
      <c r="C9" s="15">
        <v>35000</v>
      </c>
    </row>
    <row r="10" spans="2:15" x14ac:dyDescent="0.3">
      <c r="B10" s="14" t="s">
        <v>15</v>
      </c>
      <c r="C10" s="15">
        <v>29000</v>
      </c>
    </row>
    <row r="11" spans="2:15" x14ac:dyDescent="0.3">
      <c r="B11" s="14" t="s">
        <v>23</v>
      </c>
      <c r="C11" s="15">
        <v>231000</v>
      </c>
    </row>
  </sheetData>
  <mergeCells count="1">
    <mergeCell ref="N2:O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D424-9D1D-4572-A359-F48FA4E631AE}">
  <dimension ref="C2:V44"/>
  <sheetViews>
    <sheetView showGridLines="0" tabSelected="1" topLeftCell="B1" zoomScale="110" zoomScaleNormal="110" workbookViewId="0">
      <selection activeCell="C44" sqref="C44"/>
    </sheetView>
  </sheetViews>
  <sheetFormatPr defaultRowHeight="14.4" x14ac:dyDescent="0.3"/>
  <cols>
    <col min="3" max="3" width="14.109375" bestFit="1" customWidth="1"/>
    <col min="6" max="6" width="1" customWidth="1"/>
    <col min="10" max="10" width="1.21875" customWidth="1"/>
    <col min="14" max="14" width="1.109375" customWidth="1"/>
  </cols>
  <sheetData>
    <row r="2" spans="3:22" ht="25.8" x14ac:dyDescent="0.5">
      <c r="G2" s="24" t="s">
        <v>33</v>
      </c>
      <c r="H2" s="23"/>
      <c r="I2" s="24"/>
    </row>
    <row r="4" spans="3:22" ht="15.6" x14ac:dyDescent="0.3">
      <c r="C4" s="31" t="s">
        <v>28</v>
      </c>
      <c r="D4" s="32"/>
      <c r="E4" s="32"/>
      <c r="G4" s="31" t="s">
        <v>34</v>
      </c>
      <c r="H4" s="32"/>
      <c r="I4" s="32"/>
      <c r="K4" s="31" t="s">
        <v>35</v>
      </c>
      <c r="L4" s="32"/>
      <c r="M4" s="32"/>
      <c r="O4" s="33" t="s">
        <v>36</v>
      </c>
      <c r="P4" s="34"/>
      <c r="Q4" s="34"/>
      <c r="T4" t="s">
        <v>32</v>
      </c>
      <c r="U4" s="35" t="s">
        <v>27</v>
      </c>
      <c r="V4" s="35"/>
    </row>
    <row r="5" spans="3:22" x14ac:dyDescent="0.3">
      <c r="C5" s="32"/>
      <c r="D5" s="32"/>
      <c r="E5" s="32"/>
      <c r="G5" s="32"/>
      <c r="H5" s="32"/>
      <c r="I5" s="32"/>
      <c r="K5" s="32"/>
      <c r="L5" s="32"/>
      <c r="M5" s="32"/>
      <c r="O5" s="34"/>
      <c r="P5" s="34"/>
      <c r="Q5" s="34"/>
    </row>
    <row r="6" spans="3:22" x14ac:dyDescent="0.3">
      <c r="C6" s="32"/>
      <c r="D6" s="32"/>
      <c r="E6" s="32"/>
      <c r="G6" s="32"/>
      <c r="H6" s="32"/>
      <c r="I6" s="32"/>
      <c r="K6" s="32"/>
      <c r="L6" s="32"/>
      <c r="M6" s="32"/>
      <c r="O6" s="34"/>
      <c r="P6" s="34"/>
      <c r="Q6" s="34"/>
    </row>
    <row r="7" spans="3:22" x14ac:dyDescent="0.3">
      <c r="C7" s="32"/>
      <c r="D7" s="32"/>
      <c r="E7" s="32"/>
      <c r="G7" s="32"/>
      <c r="H7" s="32"/>
      <c r="I7" s="32"/>
      <c r="K7" s="32"/>
      <c r="L7" s="32"/>
      <c r="M7" s="32"/>
      <c r="O7" s="34"/>
      <c r="P7" s="34"/>
      <c r="Q7" s="34"/>
    </row>
    <row r="41" spans="3:15" ht="18" x14ac:dyDescent="0.35">
      <c r="C41" s="22" t="s">
        <v>29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</row>
    <row r="42" spans="3:15" ht="18" x14ac:dyDescent="0.35">
      <c r="C42" s="22" t="s">
        <v>37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</row>
    <row r="43" spans="3:15" ht="18" x14ac:dyDescent="0.35">
      <c r="C43" s="22" t="s">
        <v>30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</row>
    <row r="44" spans="3:15" ht="18" x14ac:dyDescent="0.35">
      <c r="C44" s="22" t="s">
        <v>31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</row>
  </sheetData>
  <mergeCells count="5">
    <mergeCell ref="C4:E7"/>
    <mergeCell ref="G4:I7"/>
    <mergeCell ref="K4:M7"/>
    <mergeCell ref="O4:Q7"/>
    <mergeCell ref="U4:V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Actual vs Budget</vt:lpstr>
      <vt:lpstr>Variance by Department</vt:lpstr>
      <vt:lpstr>Variance by Category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R</dc:creator>
  <cp:lastModifiedBy>Akash R</cp:lastModifiedBy>
  <dcterms:created xsi:type="dcterms:W3CDTF">2015-06-05T18:17:20Z</dcterms:created>
  <dcterms:modified xsi:type="dcterms:W3CDTF">2026-03-17T16:31:11Z</dcterms:modified>
</cp:coreProperties>
</file>