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pivotTables/pivotTable3.xml" ContentType="application/vnd.openxmlformats-officedocument.spreadsheetml.pivotTab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pivotTables/pivotTable4.xml" ContentType="application/vnd.openxmlformats-officedocument.spreadsheetml.pivotTable+xml"/>
  <Override PartName="/xl/drawings/drawing4.xml" ContentType="application/vnd.openxmlformats-officedocument.drawing+xml"/>
  <Override PartName="/xl/tables/table1.xml" ContentType="application/vnd.openxmlformats-officedocument.spreadsheetml.table+xml"/>
  <Override PartName="/xl/charts/chart4.xml" ContentType="application/vnd.openxmlformats-officedocument.drawingml.chart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6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7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127"/>
  <workbookPr/>
  <mc:AlternateContent xmlns:mc="http://schemas.openxmlformats.org/markup-compatibility/2006">
    <mc:Choice Requires="x15">
      <x15ac:absPath xmlns:x15ac="http://schemas.microsoft.com/office/spreadsheetml/2010/11/ac" url="https://d.docs.live.net/1917484827f3ec41/Desktop/"/>
    </mc:Choice>
  </mc:AlternateContent>
  <xr:revisionPtr revIDLastSave="8" documentId="11_F25DC773A252ABDACC104827891F7AD65BDE58E4" xr6:coauthVersionLast="45" xr6:coauthVersionMax="45" xr10:uidLastSave="{B11D7A91-E924-4022-BB12-D12441C325B8}"/>
  <bookViews>
    <workbookView xWindow="-108" yWindow="-108" windowWidth="23256" windowHeight="12576" firstSheet="2" activeTab="5" xr2:uid="{00000000-000D-0000-FFFF-FFFF00000000}"/>
  </bookViews>
  <sheets>
    <sheet name="Data" sheetId="2" r:id="rId1"/>
    <sheet name="Actual vs Budget" sheetId="4" r:id="rId2"/>
    <sheet name="Variance by Department" sheetId="5" r:id="rId3"/>
    <sheet name="Variance by Category" sheetId="6" r:id="rId4"/>
    <sheet name="Actual vs Forecast" sheetId="7" r:id="rId5"/>
    <sheet name="Dashboard" sheetId="9" r:id="rId6"/>
  </sheets>
  <calcPr calcId="191029"/>
  <pivotCaches>
    <pivotCache cacheId="7" r:id="rId7"/>
    <pivotCache cacheId="8" r:id="rId8"/>
  </pivotCaches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K5" i="2" l="1"/>
  <c r="K6" i="2" s="1"/>
  <c r="K7" i="2" s="1"/>
  <c r="K4" i="2"/>
  <c r="G8" i="7" l="1"/>
  <c r="G7" i="7"/>
  <c r="G6" i="7"/>
  <c r="F6" i="7"/>
  <c r="F7" i="7"/>
  <c r="F8" i="7"/>
  <c r="G37" i="2" l="1"/>
  <c r="F37" i="2"/>
  <c r="G36" i="2"/>
  <c r="F36" i="2"/>
  <c r="G35" i="2"/>
  <c r="F35" i="2"/>
  <c r="G34" i="2"/>
  <c r="F34" i="2"/>
  <c r="G33" i="2"/>
  <c r="F33" i="2"/>
  <c r="G32" i="2"/>
  <c r="F32" i="2"/>
  <c r="G31" i="2"/>
  <c r="F31" i="2"/>
  <c r="G30" i="2"/>
  <c r="F30" i="2"/>
  <c r="G29" i="2"/>
  <c r="F29" i="2"/>
  <c r="G28" i="2"/>
  <c r="F28" i="2"/>
  <c r="G27" i="2"/>
  <c r="F27" i="2"/>
  <c r="G26" i="2"/>
  <c r="F26" i="2"/>
  <c r="G25" i="2"/>
  <c r="F25" i="2"/>
  <c r="G24" i="2"/>
  <c r="F24" i="2"/>
  <c r="G23" i="2"/>
  <c r="F23" i="2"/>
  <c r="G22" i="2"/>
  <c r="F22" i="2"/>
  <c r="G21" i="2"/>
  <c r="F21" i="2"/>
  <c r="G20" i="2"/>
  <c r="F20" i="2"/>
  <c r="G19" i="2"/>
  <c r="F19" i="2"/>
  <c r="G18" i="2"/>
  <c r="F18" i="2"/>
  <c r="G17" i="2"/>
  <c r="F17" i="2"/>
  <c r="G16" i="2"/>
  <c r="F16" i="2"/>
  <c r="G15" i="2"/>
  <c r="F15" i="2"/>
  <c r="G14" i="2"/>
  <c r="F14" i="2"/>
  <c r="G13" i="2"/>
  <c r="F13" i="2"/>
  <c r="G12" i="2"/>
  <c r="F12" i="2"/>
  <c r="G11" i="2"/>
  <c r="F11" i="2"/>
  <c r="G10" i="2"/>
  <c r="F10" i="2"/>
  <c r="G9" i="2"/>
  <c r="F9" i="2"/>
  <c r="G8" i="2"/>
  <c r="F8" i="2"/>
  <c r="G7" i="2"/>
  <c r="F7" i="2"/>
  <c r="G6" i="2"/>
  <c r="F6" i="2"/>
  <c r="G5" i="2"/>
  <c r="F5" i="2"/>
  <c r="G4" i="2"/>
  <c r="F4" i="2"/>
  <c r="G3" i="2"/>
  <c r="F3" i="2"/>
  <c r="G2" i="2"/>
  <c r="F2" i="2"/>
</calcChain>
</file>

<file path=xl/sharedStrings.xml><?xml version="1.0" encoding="utf-8"?>
<sst xmlns="http://schemas.openxmlformats.org/spreadsheetml/2006/main" count="174" uniqueCount="42">
  <si>
    <t>Month</t>
  </si>
  <si>
    <t>Actual</t>
  </si>
  <si>
    <t>Budget</t>
  </si>
  <si>
    <t>Jan</t>
  </si>
  <si>
    <t>Feb</t>
  </si>
  <si>
    <t>Mar</t>
  </si>
  <si>
    <t>Apr</t>
  </si>
  <si>
    <t>May</t>
  </si>
  <si>
    <t>Jun</t>
  </si>
  <si>
    <t>IT</t>
  </si>
  <si>
    <t>HR</t>
  </si>
  <si>
    <t>Finance</t>
  </si>
  <si>
    <t>Admin</t>
  </si>
  <si>
    <t>Department</t>
  </si>
  <si>
    <t>Category</t>
  </si>
  <si>
    <t>Software Licenses</t>
  </si>
  <si>
    <t>Cloud Services</t>
  </si>
  <si>
    <t>Salaries</t>
  </si>
  <si>
    <t>Recruitment</t>
  </si>
  <si>
    <t>Audit &amp; Consulting</t>
  </si>
  <si>
    <t>Office Rent</t>
  </si>
  <si>
    <t>Variance</t>
  </si>
  <si>
    <t>Variance %</t>
  </si>
  <si>
    <t>Grand Total</t>
  </si>
  <si>
    <t>Sum of Budget</t>
  </si>
  <si>
    <t>Sum of Actual</t>
  </si>
  <si>
    <t>Sum of Variance</t>
  </si>
  <si>
    <t>Forecast</t>
  </si>
  <si>
    <t>Amounts in ₹ (INR)</t>
  </si>
  <si>
    <t>KPI</t>
  </si>
  <si>
    <t>Total Budget</t>
  </si>
  <si>
    <t>Total Actual</t>
  </si>
  <si>
    <t>Value</t>
  </si>
  <si>
    <t>Variance(Actual vs Budget)</t>
  </si>
  <si>
    <r>
      <rPr>
        <b/>
        <sz val="12"/>
        <color theme="1"/>
        <rFont val="Calibri"/>
        <family val="2"/>
        <scheme val="minor"/>
      </rPr>
      <t>Total Budget</t>
    </r>
    <r>
      <rPr>
        <sz val="11"/>
        <color theme="1"/>
        <rFont val="Calibri"/>
        <family val="2"/>
        <scheme val="minor"/>
      </rPr>
      <t xml:space="preserve">
</t>
    </r>
    <r>
      <rPr>
        <sz val="18"/>
        <color theme="1"/>
        <rFont val="Calibri"/>
        <family val="2"/>
        <scheme val="minor"/>
      </rPr>
      <t>₹ 1,36,65,000</t>
    </r>
  </si>
  <si>
    <r>
      <rPr>
        <b/>
        <sz val="12"/>
        <color theme="1"/>
        <rFont val="Calibri"/>
        <family val="2"/>
        <scheme val="minor"/>
      </rPr>
      <t>Total Actual</t>
    </r>
    <r>
      <rPr>
        <sz val="11"/>
        <color theme="1"/>
        <rFont val="Calibri"/>
        <family val="2"/>
        <scheme val="minor"/>
      </rPr>
      <t xml:space="preserve">
</t>
    </r>
    <r>
      <rPr>
        <sz val="18"/>
        <color theme="1"/>
        <rFont val="Calibri"/>
        <family val="2"/>
        <scheme val="minor"/>
      </rPr>
      <t>₹ 97,99,000</t>
    </r>
  </si>
  <si>
    <r>
      <rPr>
        <b/>
        <sz val="12"/>
        <color theme="1"/>
        <rFont val="Calibri"/>
        <family val="2"/>
        <scheme val="minor"/>
      </rPr>
      <t>Variance(Budget vs Actual)</t>
    </r>
    <r>
      <rPr>
        <sz val="11"/>
        <color theme="1"/>
        <rFont val="Calibri"/>
        <family val="2"/>
        <scheme val="minor"/>
      </rPr>
      <t xml:space="preserve">
</t>
    </r>
    <r>
      <rPr>
        <sz val="18"/>
        <color theme="1"/>
        <rFont val="Calibri"/>
        <family val="2"/>
        <scheme val="minor"/>
      </rPr>
      <t>₹ -38,66,000</t>
    </r>
  </si>
  <si>
    <r>
      <rPr>
        <b/>
        <sz val="12"/>
        <rFont val="Calibri"/>
        <family val="2"/>
        <scheme val="minor"/>
      </rPr>
      <t>Variance%</t>
    </r>
    <r>
      <rPr>
        <sz val="11"/>
        <rFont val="Calibri"/>
        <family val="2"/>
        <scheme val="minor"/>
      </rPr>
      <t xml:space="preserve">
</t>
    </r>
    <r>
      <rPr>
        <sz val="18"/>
        <rFont val="Calibri"/>
        <family val="2"/>
        <scheme val="minor"/>
      </rPr>
      <t>-28.29%</t>
    </r>
  </si>
  <si>
    <t>Key Insights</t>
  </si>
  <si>
    <t>1. Actual spend is 28.29% less than budget, resulting in favorable variance.</t>
  </si>
  <si>
    <t>2. IT &amp; HR are primary drivers for variance.</t>
  </si>
  <si>
    <t>3. Actuals are exceeding forecasts indicationg potential pressure on budget in upcoming months.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</si>
</sst>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 &quot;₹&quot;\ * #,##0.00_ ;_ &quot;₹&quot;\ * \-#,##0.00_ ;_ &quot;₹&quot;\ * &quot;-&quot;??_ ;_ @_ "/>
    <numFmt numFmtId="164" formatCode="_ [$₹-4009]\ * #,##0.00_ ;_ [$₹-4009]\ * \-#,##0.00_ ;_ [$₹-4009]\ * &quot;-&quot;??_ ;_ @_ "/>
    <numFmt numFmtId="165" formatCode="_ [$₹-4009]\ * #,##0_ ;_ [$₹-4009]\ * \-#,##0_ ;_ [$₹-4009]\ * &quot;-&quot;??_ ;_ @_ "/>
    <numFmt numFmtId="167" formatCode="_ &quot;₹&quot;\ * #,##0_ ;_ &quot;₹&quot;\ * \-#,##0_ ;_ &quot;₹&quot;\ * &quot;-&quot;??_ ;_ @_ "/>
  </numFmts>
  <fonts count="1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0" tint="-0.499984740745262"/>
      <name val="Calibri"/>
      <family val="2"/>
      <scheme val="minor"/>
    </font>
    <font>
      <sz val="11"/>
      <name val="Calibri"/>
      <family val="2"/>
      <scheme val="minor"/>
    </font>
    <font>
      <sz val="18"/>
      <color theme="1"/>
      <name val="Calibri"/>
      <family val="2"/>
      <scheme val="minor"/>
    </font>
    <font>
      <sz val="18"/>
      <name val="Calibri"/>
      <family val="2"/>
      <scheme val="minor"/>
    </font>
    <font>
      <b/>
      <sz val="12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  <fill>
      <patternFill patternType="solid">
        <fgColor theme="5" tint="0.39997558519241921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2">
    <xf numFmtId="0" fontId="0" fillId="0" borderId="0"/>
    <xf numFmtId="44" fontId="5" fillId="0" borderId="0" applyFont="0" applyFill="0" applyBorder="0" applyAlignment="0" applyProtection="0"/>
  </cellStyleXfs>
  <cellXfs count="43">
    <xf numFmtId="0" fontId="0" fillId="0" borderId="0" xfId="0"/>
    <xf numFmtId="0" fontId="0" fillId="0" borderId="0" xfId="0" pivotButton="1"/>
    <xf numFmtId="0" fontId="0" fillId="0" borderId="0" xfId="0" applyNumberFormat="1"/>
    <xf numFmtId="0" fontId="1" fillId="0" borderId="0" xfId="0" applyFont="1"/>
    <xf numFmtId="3" fontId="1" fillId="0" borderId="0" xfId="0" applyNumberFormat="1" applyFont="1"/>
    <xf numFmtId="0" fontId="1" fillId="0" borderId="0" xfId="0" applyFont="1" applyAlignment="1"/>
    <xf numFmtId="0" fontId="1" fillId="0" borderId="2" xfId="0" pivotButton="1" applyFont="1" applyBorder="1"/>
    <xf numFmtId="0" fontId="1" fillId="0" borderId="3" xfId="0" pivotButton="1" applyFont="1" applyBorder="1"/>
    <xf numFmtId="0" fontId="1" fillId="0" borderId="4" xfId="0" pivotButton="1" applyFont="1" applyBorder="1"/>
    <xf numFmtId="0" fontId="1" fillId="0" borderId="5" xfId="0" applyNumberFormat="1" applyFont="1" applyBorder="1"/>
    <xf numFmtId="0" fontId="1" fillId="0" borderId="1" xfId="0" applyNumberFormat="1" applyFont="1" applyBorder="1"/>
    <xf numFmtId="2" fontId="1" fillId="0" borderId="6" xfId="0" applyNumberFormat="1" applyFont="1" applyBorder="1"/>
    <xf numFmtId="0" fontId="1" fillId="0" borderId="7" xfId="0" applyNumberFormat="1" applyFont="1" applyBorder="1"/>
    <xf numFmtId="0" fontId="1" fillId="0" borderId="8" xfId="0" applyNumberFormat="1" applyFont="1" applyBorder="1"/>
    <xf numFmtId="2" fontId="1" fillId="0" borderId="9" xfId="0" applyNumberFormat="1" applyFont="1" applyBorder="1"/>
    <xf numFmtId="0" fontId="2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vertical="center"/>
    </xf>
    <xf numFmtId="3" fontId="3" fillId="0" borderId="1" xfId="0" applyNumberFormat="1" applyFont="1" applyBorder="1"/>
    <xf numFmtId="10" fontId="3" fillId="0" borderId="1" xfId="0" applyNumberFormat="1" applyFont="1" applyBorder="1" applyAlignment="1">
      <alignment horizontal="right"/>
    </xf>
    <xf numFmtId="0" fontId="0" fillId="0" borderId="0" xfId="0" applyBorder="1"/>
    <xf numFmtId="0" fontId="4" fillId="0" borderId="0" xfId="0" applyFont="1" applyAlignment="1">
      <alignment horizontal="center"/>
    </xf>
    <xf numFmtId="0" fontId="4" fillId="0" borderId="0" xfId="0" applyFont="1" applyAlignment="1"/>
    <xf numFmtId="0" fontId="0" fillId="0" borderId="1" xfId="0" pivotButton="1" applyBorder="1"/>
    <xf numFmtId="0" fontId="0" fillId="0" borderId="1" xfId="0" applyBorder="1"/>
    <xf numFmtId="0" fontId="0" fillId="0" borderId="1" xfId="0" applyBorder="1" applyAlignment="1">
      <alignment horizontal="left"/>
    </xf>
    <xf numFmtId="0" fontId="0" fillId="0" borderId="1" xfId="0" applyNumberFormat="1" applyBorder="1"/>
    <xf numFmtId="165" fontId="2" fillId="0" borderId="1" xfId="1" applyNumberFormat="1" applyFont="1" applyBorder="1" applyAlignment="1">
      <alignment horizontal="center" vertical="center"/>
    </xf>
    <xf numFmtId="165" fontId="2" fillId="0" borderId="1" xfId="0" applyNumberFormat="1" applyFont="1" applyBorder="1" applyAlignment="1">
      <alignment horizontal="center" vertical="center"/>
    </xf>
    <xf numFmtId="165" fontId="3" fillId="0" borderId="1" xfId="1" applyNumberFormat="1" applyFont="1" applyBorder="1" applyAlignment="1">
      <alignment vertical="center"/>
    </xf>
    <xf numFmtId="165" fontId="3" fillId="0" borderId="1" xfId="0" applyNumberFormat="1" applyFont="1" applyBorder="1" applyAlignment="1">
      <alignment vertical="center"/>
    </xf>
    <xf numFmtId="165" fontId="0" fillId="0" borderId="0" xfId="1" applyNumberFormat="1" applyFont="1"/>
    <xf numFmtId="165" fontId="0" fillId="0" borderId="0" xfId="0" applyNumberFormat="1"/>
    <xf numFmtId="0" fontId="4" fillId="0" borderId="0" xfId="0" applyFont="1" applyAlignment="1">
      <alignment horizontal="center"/>
    </xf>
    <xf numFmtId="0" fontId="6" fillId="0" borderId="0" xfId="0" applyFont="1" applyAlignment="1">
      <alignment horizontal="center"/>
    </xf>
    <xf numFmtId="0" fontId="4" fillId="0" borderId="0" xfId="0" applyFont="1" applyBorder="1" applyAlignment="1">
      <alignment horizontal="center"/>
    </xf>
    <xf numFmtId="0" fontId="1" fillId="0" borderId="1" xfId="0" applyFont="1" applyBorder="1"/>
    <xf numFmtId="167" fontId="1" fillId="0" borderId="1" xfId="1" applyNumberFormat="1" applyFont="1" applyBorder="1"/>
    <xf numFmtId="10" fontId="1" fillId="0" borderId="1" xfId="0" applyNumberFormat="1" applyFont="1" applyBorder="1"/>
    <xf numFmtId="0" fontId="0" fillId="2" borderId="0" xfId="0" applyFill="1" applyAlignment="1">
      <alignment horizontal="center" vertical="top" wrapText="1"/>
    </xf>
    <xf numFmtId="0" fontId="0" fillId="2" borderId="0" xfId="0" applyFill="1" applyAlignment="1">
      <alignment horizontal="center" vertical="top"/>
    </xf>
    <xf numFmtId="0" fontId="4" fillId="0" borderId="0" xfId="0" applyFont="1"/>
    <xf numFmtId="0" fontId="7" fillId="3" borderId="0" xfId="0" applyFont="1" applyFill="1" applyAlignment="1">
      <alignment horizontal="center" vertical="top" wrapText="1"/>
    </xf>
    <xf numFmtId="0" fontId="7" fillId="3" borderId="0" xfId="0" applyFont="1" applyFill="1" applyAlignment="1">
      <alignment horizontal="center" vertical="top"/>
    </xf>
  </cellXfs>
  <cellStyles count="2">
    <cellStyle name="Currency" xfId="1" builtinId="4"/>
    <cellStyle name="Normal" xfId="0" builtinId="0"/>
  </cellStyles>
  <dxfs count="35">
    <dxf>
      <fill>
        <patternFill>
          <bgColor rgb="FF92D05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2" formatCode="0.0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</dxfs>
  <tableStyles count="0" defaultTableStyle="TableStyleMedium2" defaultPivotStyle="PivotStyleLight16"/>
  <colors>
    <mruColors>
      <color rgb="FFDF1803"/>
      <color rgb="FFE4643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2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[Financial Planning ^0 Analysis.xlsx]Actual vs Budget!PivotTable3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 sz="1400" b="1" i="0" u="none" strike="noStrike" baseline="0">
                <a:effectLst/>
              </a:rPr>
              <a:t>Budget vs Actual - Monthly</a:t>
            </a:r>
            <a:r>
              <a:rPr lang="en-IN" sz="1400" b="0" i="0" u="none" strike="noStrike" baseline="0"/>
              <a:t> </a:t>
            </a:r>
            <a:endParaRPr lang="en-IN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'Actual vs Budget'!$C$8</c:f>
              <c:strCache>
                <c:ptCount val="1"/>
                <c:pt idx="0">
                  <c:v>Sum of Budget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'Actual vs Budget'!$B$9:$B$15</c:f>
              <c:strCache>
                <c:ptCount val="6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</c:strCache>
            </c:strRef>
          </c:cat>
          <c:val>
            <c:numRef>
              <c:f>'Actual vs Budget'!$C$9:$C$15</c:f>
              <c:numCache>
                <c:formatCode>General</c:formatCode>
                <c:ptCount val="6"/>
                <c:pt idx="0">
                  <c:v>2275000</c:v>
                </c:pt>
                <c:pt idx="1">
                  <c:v>2275000</c:v>
                </c:pt>
                <c:pt idx="2">
                  <c:v>2275000</c:v>
                </c:pt>
                <c:pt idx="3">
                  <c:v>2280000</c:v>
                </c:pt>
                <c:pt idx="4">
                  <c:v>2280000</c:v>
                </c:pt>
                <c:pt idx="5">
                  <c:v>2280000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939-42B9-9DD9-5B540A2AEC76}"/>
            </c:ext>
          </c:extLst>
        </c:ser>
        <c:ser>
          <c:idx val="1"/>
          <c:order val="1"/>
          <c:tx>
            <c:strRef>
              <c:f>'Actual vs Budget'!$D$8</c:f>
              <c:strCache>
                <c:ptCount val="1"/>
                <c:pt idx="0">
                  <c:v>Sum of Actual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'Actual vs Budget'!$B$9:$B$15</c:f>
              <c:strCache>
                <c:ptCount val="6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</c:strCache>
            </c:strRef>
          </c:cat>
          <c:val>
            <c:numRef>
              <c:f>'Actual vs Budget'!$D$9:$D$15</c:f>
              <c:numCache>
                <c:formatCode>General</c:formatCode>
                <c:ptCount val="6"/>
                <c:pt idx="0">
                  <c:v>2264000</c:v>
                </c:pt>
                <c:pt idx="1">
                  <c:v>2283000</c:v>
                </c:pt>
                <c:pt idx="2">
                  <c:v>2350000</c:v>
                </c:pt>
                <c:pt idx="3">
                  <c:v>2259000</c:v>
                </c:pt>
                <c:pt idx="4">
                  <c:v>2340000</c:v>
                </c:pt>
                <c:pt idx="5">
                  <c:v>2400000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939-42B9-9DD9-5B540A2AEC7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592320168"/>
        <c:axId val="592324104"/>
      </c:barChart>
      <c:catAx>
        <c:axId val="5923201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92324104"/>
        <c:crosses val="autoZero"/>
        <c:auto val="1"/>
        <c:lblAlgn val="ctr"/>
        <c:lblOffset val="100"/>
        <c:noMultiLvlLbl val="0"/>
      </c:catAx>
      <c:valAx>
        <c:axId val="592324104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9232016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[Financial Planning ^0 Analysis.xlsx]Variance by Department!PivotTable6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 sz="1400" b="1" i="0" u="none" strike="noStrike" baseline="0">
                <a:effectLst/>
              </a:rPr>
              <a:t>Variance by Department</a:t>
            </a:r>
            <a:r>
              <a:rPr lang="en-IN" sz="1400" b="0" i="0" u="none" strike="noStrike" baseline="0"/>
              <a:t> 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3"/>
        <c:spPr>
          <a:solidFill>
            <a:schemeClr val="accent2">
              <a:lumMod val="60000"/>
              <a:lumOff val="4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'Variance by Department'!$C$5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2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strRef>
              <c:f>'Variance by Department'!$B$6:$B$10</c:f>
              <c:strCache>
                <c:ptCount val="4"/>
                <c:pt idx="0">
                  <c:v>Admin</c:v>
                </c:pt>
                <c:pt idx="1">
                  <c:v>Finance</c:v>
                </c:pt>
                <c:pt idx="2">
                  <c:v>HR</c:v>
                </c:pt>
                <c:pt idx="3">
                  <c:v>IT</c:v>
                </c:pt>
              </c:strCache>
            </c:strRef>
          </c:cat>
          <c:val>
            <c:numRef>
              <c:f>'Variance by Department'!$C$6:$C$10</c:f>
              <c:numCache>
                <c:formatCode>General</c:formatCode>
                <c:ptCount val="4"/>
                <c:pt idx="0">
                  <c:v>0</c:v>
                </c:pt>
                <c:pt idx="1">
                  <c:v>50000</c:v>
                </c:pt>
                <c:pt idx="2">
                  <c:v>92000</c:v>
                </c:pt>
                <c:pt idx="3">
                  <c:v>89000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B8C-4497-9B15-64B3DD21F3D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623935208"/>
        <c:axId val="623935864"/>
      </c:barChart>
      <c:catAx>
        <c:axId val="62393520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23935864"/>
        <c:crosses val="autoZero"/>
        <c:auto val="1"/>
        <c:lblAlgn val="ctr"/>
        <c:lblOffset val="100"/>
        <c:noMultiLvlLbl val="0"/>
      </c:catAx>
      <c:valAx>
        <c:axId val="6239358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239352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[Financial Planning ^0 Analysis.xlsx]Variance by Category!PivotTable1</c:name>
    <c:fmtId val="3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 sz="1400" b="1" i="0" u="none" strike="noStrike" baseline="0">
                <a:effectLst/>
              </a:rPr>
              <a:t>Variance by Category</a:t>
            </a:r>
            <a:r>
              <a:rPr lang="en-IN" sz="1400" b="0" i="0" u="none" strike="noStrike" baseline="0"/>
              <a:t> </a:t>
            </a:r>
            <a:endParaRPr lang="en-IN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'Variance by Category'!$C$4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'Variance by Category'!$B$5:$B$11</c:f>
              <c:strCache>
                <c:ptCount val="6"/>
                <c:pt idx="0">
                  <c:v>Audit &amp; Consulting</c:v>
                </c:pt>
                <c:pt idx="1">
                  <c:v>Cloud Services</c:v>
                </c:pt>
                <c:pt idx="2">
                  <c:v>Office Rent</c:v>
                </c:pt>
                <c:pt idx="3">
                  <c:v>Recruitment</c:v>
                </c:pt>
                <c:pt idx="4">
                  <c:v>Salaries</c:v>
                </c:pt>
                <c:pt idx="5">
                  <c:v>Software Licenses</c:v>
                </c:pt>
              </c:strCache>
            </c:strRef>
          </c:cat>
          <c:val>
            <c:numRef>
              <c:f>'Variance by Category'!$C$5:$C$11</c:f>
              <c:numCache>
                <c:formatCode>General</c:formatCode>
                <c:ptCount val="6"/>
                <c:pt idx="0">
                  <c:v>50000</c:v>
                </c:pt>
                <c:pt idx="1">
                  <c:v>60000</c:v>
                </c:pt>
                <c:pt idx="2">
                  <c:v>0</c:v>
                </c:pt>
                <c:pt idx="3">
                  <c:v>57000</c:v>
                </c:pt>
                <c:pt idx="4">
                  <c:v>35000</c:v>
                </c:pt>
                <c:pt idx="5">
                  <c:v>29000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762-4E12-9065-330ACBAD28F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503117248"/>
        <c:axId val="503118560"/>
      </c:barChart>
      <c:catAx>
        <c:axId val="50311724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03118560"/>
        <c:crosses val="autoZero"/>
        <c:auto val="1"/>
        <c:lblAlgn val="ctr"/>
        <c:lblOffset val="100"/>
        <c:noMultiLvlLbl val="0"/>
      </c:catAx>
      <c:valAx>
        <c:axId val="5031185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031172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 sz="1400" b="1" i="0" u="none" strike="noStrike" baseline="0">
                <a:effectLst/>
              </a:rPr>
              <a:t>Actual vs Forecast - Trend</a:t>
            </a:r>
            <a:r>
              <a:rPr lang="en-IN" sz="1400" b="0" i="0" u="none" strike="noStrike" baseline="0"/>
              <a:t> </a:t>
            </a:r>
            <a:endParaRPr lang="en-IN"/>
          </a:p>
        </c:rich>
      </c:tx>
      <c:overlay val="0"/>
      <c:spPr>
        <a:noFill/>
        <a:ln>
          <a:noFill/>
        </a:ln>
        <a:effectLst/>
      </c:spPr>
    </c:title>
    <c:autoTitleDeleted val="0"/>
    <c:pivotFmts>
      <c:pivotFmt>
        <c:idx val="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2"/>
          <c:order val="0"/>
          <c:tx>
            <c:strRef>
              <c:f>'Actual vs Forecast'!$F$5</c:f>
              <c:strCache>
                <c:ptCount val="1"/>
                <c:pt idx="0">
                  <c:v>Actual</c:v>
                </c:pt>
              </c:strCache>
            </c:strRef>
          </c:tx>
          <c:marker>
            <c:symbol val="none"/>
          </c:marker>
          <c:cat>
            <c:strRef>
              <c:f>'Actual vs Forecast'!$E$6:$E$8</c:f>
              <c:strCache>
                <c:ptCount val="3"/>
                <c:pt idx="0">
                  <c:v>Apr</c:v>
                </c:pt>
                <c:pt idx="1">
                  <c:v>May</c:v>
                </c:pt>
                <c:pt idx="2">
                  <c:v>Jun</c:v>
                </c:pt>
              </c:strCache>
            </c:strRef>
          </c:cat>
          <c:val>
            <c:numRef>
              <c:f>'Actual vs Forecast'!$F$6:$F$8</c:f>
              <c:numCache>
                <c:formatCode>General</c:formatCode>
                <c:ptCount val="3"/>
                <c:pt idx="0">
                  <c:v>2259000</c:v>
                </c:pt>
                <c:pt idx="1">
                  <c:v>2340000</c:v>
                </c:pt>
                <c:pt idx="2">
                  <c:v>2400000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860C-465A-886B-C319E3F9ADE7}"/>
            </c:ext>
          </c:extLst>
        </c:ser>
        <c:ser>
          <c:idx val="3"/>
          <c:order val="1"/>
          <c:tx>
            <c:strRef>
              <c:f>'Actual vs Forecast'!$G$5</c:f>
              <c:strCache>
                <c:ptCount val="1"/>
                <c:pt idx="0">
                  <c:v>Forecast</c:v>
                </c:pt>
              </c:strCache>
            </c:strRef>
          </c:tx>
          <c:marker>
            <c:symbol val="none"/>
          </c:marker>
          <c:cat>
            <c:strRef>
              <c:f>'Actual vs Forecast'!$E$6:$E$8</c:f>
              <c:strCache>
                <c:ptCount val="3"/>
                <c:pt idx="0">
                  <c:v>Apr</c:v>
                </c:pt>
                <c:pt idx="1">
                  <c:v>May</c:v>
                </c:pt>
                <c:pt idx="2">
                  <c:v>Jun</c:v>
                </c:pt>
              </c:strCache>
            </c:strRef>
          </c:cat>
          <c:val>
            <c:numRef>
              <c:f>'Actual vs Forecast'!$G$6:$G$8</c:f>
              <c:numCache>
                <c:formatCode>0.00</c:formatCode>
                <c:ptCount val="3"/>
                <c:pt idx="0">
                  <c:v>2299000</c:v>
                </c:pt>
                <c:pt idx="1">
                  <c:v>2297333.3333333335</c:v>
                </c:pt>
                <c:pt idx="2">
                  <c:v>2316333.3333333335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860C-465A-886B-C319E3F9ADE7}"/>
            </c:ext>
          </c:extLst>
        </c:ser>
        <c:ser>
          <c:idx val="0"/>
          <c:order val="2"/>
          <c:tx>
            <c:strRef>
              <c:f>'Actual vs Forecast'!$F$5</c:f>
              <c:strCache>
                <c:ptCount val="1"/>
                <c:pt idx="0">
                  <c:v>Actual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'Actual vs Forecast'!$E$6:$E$8</c:f>
              <c:strCache>
                <c:ptCount val="3"/>
                <c:pt idx="0">
                  <c:v>Apr</c:v>
                </c:pt>
                <c:pt idx="1">
                  <c:v>May</c:v>
                </c:pt>
                <c:pt idx="2">
                  <c:v>Jun</c:v>
                </c:pt>
              </c:strCache>
            </c:strRef>
          </c:cat>
          <c:val>
            <c:numRef>
              <c:f>'Actual vs Forecast'!$F$6:$F$8</c:f>
              <c:numCache>
                <c:formatCode>General</c:formatCode>
                <c:ptCount val="3"/>
                <c:pt idx="0">
                  <c:v>2259000</c:v>
                </c:pt>
                <c:pt idx="1">
                  <c:v>2340000</c:v>
                </c:pt>
                <c:pt idx="2">
                  <c:v>2400000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60C-465A-886B-C319E3F9ADE7}"/>
            </c:ext>
          </c:extLst>
        </c:ser>
        <c:ser>
          <c:idx val="1"/>
          <c:order val="3"/>
          <c:tx>
            <c:strRef>
              <c:f>'Actual vs Forecast'!$G$5</c:f>
              <c:strCache>
                <c:ptCount val="1"/>
                <c:pt idx="0">
                  <c:v>Forecast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'Actual vs Forecast'!$E$6:$E$8</c:f>
              <c:strCache>
                <c:ptCount val="3"/>
                <c:pt idx="0">
                  <c:v>Apr</c:v>
                </c:pt>
                <c:pt idx="1">
                  <c:v>May</c:v>
                </c:pt>
                <c:pt idx="2">
                  <c:v>Jun</c:v>
                </c:pt>
              </c:strCache>
            </c:strRef>
          </c:cat>
          <c:val>
            <c:numRef>
              <c:f>'Actual vs Forecast'!$G$6:$G$8</c:f>
              <c:numCache>
                <c:formatCode>0.00</c:formatCode>
                <c:ptCount val="3"/>
                <c:pt idx="0">
                  <c:v>2299000</c:v>
                </c:pt>
                <c:pt idx="1">
                  <c:v>2297333.3333333335</c:v>
                </c:pt>
                <c:pt idx="2">
                  <c:v>2316333.3333333335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860C-465A-886B-C319E3F9ADE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93591784"/>
        <c:axId val="593589816"/>
      </c:lineChart>
      <c:catAx>
        <c:axId val="59359178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93589816"/>
        <c:crosses val="autoZero"/>
        <c:auto val="1"/>
        <c:lblAlgn val="ctr"/>
        <c:lblOffset val="100"/>
        <c:noMultiLvlLbl val="0"/>
      </c:catAx>
      <c:valAx>
        <c:axId val="593589816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93591784"/>
        <c:crosses val="autoZero"/>
        <c:crossBetween val="between"/>
      </c:valAx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/>
  </c:chart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/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[Financial Planning ^0 Analysis.xlsx]Actual vs Budget!PivotTable3</c:name>
    <c:fmtId val="6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 sz="1400" b="1" i="0" u="none" strike="noStrike" baseline="0">
                <a:effectLst/>
              </a:rPr>
              <a:t>Budget vs Actual - Monthly</a:t>
            </a:r>
            <a:r>
              <a:rPr lang="en-IN" sz="1400" b="0" i="0" u="none" strike="noStrike" baseline="0"/>
              <a:t> </a:t>
            </a:r>
            <a:endParaRPr lang="en-IN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'Actual vs Budget'!$C$8</c:f>
              <c:strCache>
                <c:ptCount val="1"/>
                <c:pt idx="0">
                  <c:v>Sum of Budget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'Actual vs Budget'!$B$9:$B$15</c:f>
              <c:strCache>
                <c:ptCount val="6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</c:strCache>
            </c:strRef>
          </c:cat>
          <c:val>
            <c:numRef>
              <c:f>'Actual vs Budget'!$C$9:$C$15</c:f>
              <c:numCache>
                <c:formatCode>General</c:formatCode>
                <c:ptCount val="6"/>
                <c:pt idx="0">
                  <c:v>2275000</c:v>
                </c:pt>
                <c:pt idx="1">
                  <c:v>2275000</c:v>
                </c:pt>
                <c:pt idx="2">
                  <c:v>2275000</c:v>
                </c:pt>
                <c:pt idx="3">
                  <c:v>2280000</c:v>
                </c:pt>
                <c:pt idx="4">
                  <c:v>2280000</c:v>
                </c:pt>
                <c:pt idx="5">
                  <c:v>2280000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F84-46C3-9BCB-A5AB230757BB}"/>
            </c:ext>
          </c:extLst>
        </c:ser>
        <c:ser>
          <c:idx val="1"/>
          <c:order val="1"/>
          <c:tx>
            <c:strRef>
              <c:f>'Actual vs Budget'!$D$8</c:f>
              <c:strCache>
                <c:ptCount val="1"/>
                <c:pt idx="0">
                  <c:v>Sum of Actual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'Actual vs Budget'!$B$9:$B$15</c:f>
              <c:strCache>
                <c:ptCount val="6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</c:strCache>
            </c:strRef>
          </c:cat>
          <c:val>
            <c:numRef>
              <c:f>'Actual vs Budget'!$D$9:$D$15</c:f>
              <c:numCache>
                <c:formatCode>General</c:formatCode>
                <c:ptCount val="6"/>
                <c:pt idx="0">
                  <c:v>2264000</c:v>
                </c:pt>
                <c:pt idx="1">
                  <c:v>2283000</c:v>
                </c:pt>
                <c:pt idx="2">
                  <c:v>2350000</c:v>
                </c:pt>
                <c:pt idx="3">
                  <c:v>2259000</c:v>
                </c:pt>
                <c:pt idx="4">
                  <c:v>2340000</c:v>
                </c:pt>
                <c:pt idx="5">
                  <c:v>2400000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F84-46C3-9BCB-A5AB230757B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592320168"/>
        <c:axId val="592324104"/>
      </c:barChart>
      <c:catAx>
        <c:axId val="5923201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92324104"/>
        <c:crosses val="autoZero"/>
        <c:auto val="1"/>
        <c:lblAlgn val="ctr"/>
        <c:lblOffset val="100"/>
        <c:noMultiLvlLbl val="0"/>
      </c:catAx>
      <c:valAx>
        <c:axId val="592324104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9232016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247818236129304"/>
          <c:y val="0.45057860063280775"/>
          <c:w val="0.16158019464370951"/>
          <c:h val="0.20169492298243874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[Financial Planning ^0 Analysis.xlsx]Variance by Department!PivotTable6</c:name>
    <c:fmtId val="7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 sz="1400" b="1" i="0" u="none" strike="noStrike" baseline="0">
                <a:effectLst/>
              </a:rPr>
              <a:t>Variance by Department</a:t>
            </a:r>
            <a:r>
              <a:rPr lang="en-IN" sz="1400" b="0" i="0" u="none" strike="noStrike" baseline="0"/>
              <a:t> 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3"/>
        <c:spPr>
          <a:solidFill>
            <a:schemeClr val="accent2">
              <a:lumMod val="60000"/>
              <a:lumOff val="4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4"/>
        <c:spPr>
          <a:solidFill>
            <a:schemeClr val="accent2">
              <a:lumMod val="60000"/>
              <a:lumOff val="4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5"/>
        <c:spPr>
          <a:solidFill>
            <a:schemeClr val="accent2">
              <a:lumMod val="60000"/>
              <a:lumOff val="4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6"/>
        <c:spPr>
          <a:solidFill>
            <a:schemeClr val="accent6">
              <a:lumMod val="60000"/>
              <a:lumOff val="40000"/>
            </a:schemeClr>
          </a:solidFill>
          <a:ln>
            <a:noFill/>
          </a:ln>
          <a:effectLst/>
        </c:spPr>
      </c:pivotFmt>
      <c:pivotFmt>
        <c:idx val="37"/>
        <c:spPr>
          <a:solidFill>
            <a:schemeClr val="accent6">
              <a:lumMod val="60000"/>
              <a:lumOff val="40000"/>
            </a:schemeClr>
          </a:solidFill>
          <a:ln>
            <a:noFill/>
          </a:ln>
          <a:effectLst/>
        </c:spPr>
      </c:pivotFmt>
      <c:pivotFmt>
        <c:idx val="38"/>
        <c:spPr>
          <a:solidFill>
            <a:srgbClr val="FF0000"/>
          </a:solidFill>
          <a:ln>
            <a:noFill/>
          </a:ln>
          <a:effectLst/>
        </c:spPr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'Variance by Department'!$C$5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2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dPt>
            <c:idx val="1"/>
            <c:invertIfNegative val="0"/>
            <c:bubble3D val="0"/>
            <c:spPr>
              <a:solidFill>
                <a:srgbClr val="FF0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4-8A51-4A0A-80A9-A962DE8A7AB8}"/>
              </c:ext>
            </c:extLst>
          </c:dPt>
          <c:dPt>
            <c:idx val="2"/>
            <c:invertIfNegative val="0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8A51-4A0A-80A9-A962DE8A7AB8}"/>
              </c:ext>
            </c:extLst>
          </c:dPt>
          <c:dPt>
            <c:idx val="3"/>
            <c:invertIfNegative val="0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2-8A51-4A0A-80A9-A962DE8A7AB8}"/>
              </c:ext>
            </c:extLst>
          </c:dPt>
          <c:cat>
            <c:strRef>
              <c:f>'Variance by Department'!$B$6:$B$10</c:f>
              <c:strCache>
                <c:ptCount val="4"/>
                <c:pt idx="0">
                  <c:v>Admin</c:v>
                </c:pt>
                <c:pt idx="1">
                  <c:v>Finance</c:v>
                </c:pt>
                <c:pt idx="2">
                  <c:v>HR</c:v>
                </c:pt>
                <c:pt idx="3">
                  <c:v>IT</c:v>
                </c:pt>
              </c:strCache>
            </c:strRef>
          </c:cat>
          <c:val>
            <c:numRef>
              <c:f>'Variance by Department'!$C$6:$C$10</c:f>
              <c:numCache>
                <c:formatCode>General</c:formatCode>
                <c:ptCount val="4"/>
                <c:pt idx="0">
                  <c:v>0</c:v>
                </c:pt>
                <c:pt idx="1">
                  <c:v>50000</c:v>
                </c:pt>
                <c:pt idx="2">
                  <c:v>92000</c:v>
                </c:pt>
                <c:pt idx="3">
                  <c:v>89000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A51-4A0A-80A9-A962DE8A7AB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623935208"/>
        <c:axId val="623935864"/>
      </c:barChart>
      <c:catAx>
        <c:axId val="62393520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23935864"/>
        <c:crosses val="autoZero"/>
        <c:auto val="1"/>
        <c:lblAlgn val="ctr"/>
        <c:lblOffset val="100"/>
        <c:noMultiLvlLbl val="0"/>
      </c:catAx>
      <c:valAx>
        <c:axId val="6239358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239352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 sz="1400" b="1" i="0" u="none" strike="noStrike" baseline="0">
                <a:effectLst/>
              </a:rPr>
              <a:t>Actual vs Forecast - Trend</a:t>
            </a:r>
            <a:r>
              <a:rPr lang="en-IN" sz="1400" b="0" i="0" u="none" strike="noStrike" baseline="0"/>
              <a:t> </a:t>
            </a:r>
            <a:endParaRPr lang="en-IN"/>
          </a:p>
        </c:rich>
      </c:tx>
      <c:overlay val="0"/>
      <c:spPr>
        <a:noFill/>
        <a:ln>
          <a:noFill/>
        </a:ln>
        <a:effectLst/>
      </c:spPr>
    </c:title>
    <c:autoTitleDeleted val="0"/>
    <c:pivotFmts>
      <c:pivotFmt>
        <c:idx val="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2"/>
          <c:order val="0"/>
          <c:tx>
            <c:strRef>
              <c:f>'Actual vs Forecast'!$F$5</c:f>
              <c:strCache>
                <c:ptCount val="1"/>
                <c:pt idx="0">
                  <c:v>Actual</c:v>
                </c:pt>
              </c:strCache>
            </c:strRef>
          </c:tx>
          <c:marker>
            <c:symbol val="none"/>
          </c:marker>
          <c:cat>
            <c:strRef>
              <c:f>'Actual vs Forecast'!$E$6:$E$8</c:f>
              <c:strCache>
                <c:ptCount val="3"/>
                <c:pt idx="0">
                  <c:v>Apr</c:v>
                </c:pt>
                <c:pt idx="1">
                  <c:v>May</c:v>
                </c:pt>
                <c:pt idx="2">
                  <c:v>Jun</c:v>
                </c:pt>
              </c:strCache>
            </c:strRef>
          </c:cat>
          <c:val>
            <c:numRef>
              <c:f>'Actual vs Forecast'!$F$6:$F$8</c:f>
              <c:numCache>
                <c:formatCode>General</c:formatCode>
                <c:ptCount val="3"/>
                <c:pt idx="0">
                  <c:v>2259000</c:v>
                </c:pt>
                <c:pt idx="1">
                  <c:v>2340000</c:v>
                </c:pt>
                <c:pt idx="2">
                  <c:v>2400000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ED4-4120-913E-4BF56BDF8BFF}"/>
            </c:ext>
          </c:extLst>
        </c:ser>
        <c:ser>
          <c:idx val="3"/>
          <c:order val="1"/>
          <c:tx>
            <c:strRef>
              <c:f>'Actual vs Forecast'!$G$5</c:f>
              <c:strCache>
                <c:ptCount val="1"/>
                <c:pt idx="0">
                  <c:v>Forecast</c:v>
                </c:pt>
              </c:strCache>
            </c:strRef>
          </c:tx>
          <c:marker>
            <c:symbol val="none"/>
          </c:marker>
          <c:cat>
            <c:strRef>
              <c:f>'Actual vs Forecast'!$E$6:$E$8</c:f>
              <c:strCache>
                <c:ptCount val="3"/>
                <c:pt idx="0">
                  <c:v>Apr</c:v>
                </c:pt>
                <c:pt idx="1">
                  <c:v>May</c:v>
                </c:pt>
                <c:pt idx="2">
                  <c:v>Jun</c:v>
                </c:pt>
              </c:strCache>
            </c:strRef>
          </c:cat>
          <c:val>
            <c:numRef>
              <c:f>'Actual vs Forecast'!$G$6:$G$8</c:f>
              <c:numCache>
                <c:formatCode>0.00</c:formatCode>
                <c:ptCount val="3"/>
                <c:pt idx="0">
                  <c:v>2299000</c:v>
                </c:pt>
                <c:pt idx="1">
                  <c:v>2297333.3333333335</c:v>
                </c:pt>
                <c:pt idx="2">
                  <c:v>2316333.3333333335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ED4-4120-913E-4BF56BDF8BFF}"/>
            </c:ext>
          </c:extLst>
        </c:ser>
        <c:ser>
          <c:idx val="0"/>
          <c:order val="2"/>
          <c:tx>
            <c:strRef>
              <c:f>'Actual vs Forecast'!$F$5</c:f>
              <c:strCache>
                <c:ptCount val="1"/>
                <c:pt idx="0">
                  <c:v>Actual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'Actual vs Forecast'!$E$6:$E$8</c:f>
              <c:strCache>
                <c:ptCount val="3"/>
                <c:pt idx="0">
                  <c:v>Apr</c:v>
                </c:pt>
                <c:pt idx="1">
                  <c:v>May</c:v>
                </c:pt>
                <c:pt idx="2">
                  <c:v>Jun</c:v>
                </c:pt>
              </c:strCache>
            </c:strRef>
          </c:cat>
          <c:val>
            <c:numRef>
              <c:f>'Actual vs Forecast'!$F$6:$F$8</c:f>
              <c:numCache>
                <c:formatCode>General</c:formatCode>
                <c:ptCount val="3"/>
                <c:pt idx="0">
                  <c:v>2259000</c:v>
                </c:pt>
                <c:pt idx="1">
                  <c:v>2340000</c:v>
                </c:pt>
                <c:pt idx="2">
                  <c:v>2400000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2ED4-4120-913E-4BF56BDF8BFF}"/>
            </c:ext>
          </c:extLst>
        </c:ser>
        <c:ser>
          <c:idx val="1"/>
          <c:order val="3"/>
          <c:tx>
            <c:strRef>
              <c:f>'Actual vs Forecast'!$G$5</c:f>
              <c:strCache>
                <c:ptCount val="1"/>
                <c:pt idx="0">
                  <c:v>Forecast</c:v>
                </c:pt>
              </c:strCache>
            </c:strRef>
          </c:tx>
          <c:spPr>
            <a:ln w="28575" cap="rnd">
              <a:solidFill>
                <a:schemeClr val="bg2">
                  <a:lumMod val="75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'Actual vs Forecast'!$E$6:$E$8</c:f>
              <c:strCache>
                <c:ptCount val="3"/>
                <c:pt idx="0">
                  <c:v>Apr</c:v>
                </c:pt>
                <c:pt idx="1">
                  <c:v>May</c:v>
                </c:pt>
                <c:pt idx="2">
                  <c:v>Jun</c:v>
                </c:pt>
              </c:strCache>
            </c:strRef>
          </c:cat>
          <c:val>
            <c:numRef>
              <c:f>'Actual vs Forecast'!$G$6:$G$8</c:f>
              <c:numCache>
                <c:formatCode>0.00</c:formatCode>
                <c:ptCount val="3"/>
                <c:pt idx="0">
                  <c:v>2299000</c:v>
                </c:pt>
                <c:pt idx="1">
                  <c:v>2297333.3333333335</c:v>
                </c:pt>
                <c:pt idx="2">
                  <c:v>2316333.3333333335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2ED4-4120-913E-4BF56BDF8BF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93591784"/>
        <c:axId val="593589816"/>
      </c:lineChart>
      <c:catAx>
        <c:axId val="59359178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93589816"/>
        <c:crosses val="autoZero"/>
        <c:auto val="1"/>
        <c:lblAlgn val="ctr"/>
        <c:lblOffset val="100"/>
        <c:noMultiLvlLbl val="0"/>
      </c:catAx>
      <c:valAx>
        <c:axId val="593589816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93591784"/>
        <c:crosses val="autoZero"/>
        <c:crossBetween val="between"/>
      </c:valAx>
    </c:plotArea>
    <c:legend>
      <c:legendPos val="r"/>
      <c:legendEntry>
        <c:idx val="0"/>
        <c:delete val="1"/>
      </c:legendEntry>
      <c:legendEntry>
        <c:idx val="1"/>
        <c:delete val="1"/>
      </c:legendEntry>
      <c:overlay val="0"/>
      <c:txPr>
        <a:bodyPr rot="0" vert="horz"/>
        <a:lstStyle/>
        <a:p>
          <a:pPr>
            <a:defRPr/>
          </a:pPr>
          <a:endParaRPr lang="en-US"/>
        </a:p>
      </c:txPr>
    </c:legend>
    <c:plotVisOnly val="1"/>
    <c:dispBlanksAs val="gap"/>
    <c:showDLblsOverMax val="0"/>
    <c:extLst/>
  </c:chart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/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chart" Target="../charts/chart7.xml"/><Relationship Id="rId2" Type="http://schemas.openxmlformats.org/officeDocument/2006/relationships/chart" Target="../charts/chart6.xml"/><Relationship Id="rId1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38099</xdr:colOff>
      <xdr:row>4</xdr:row>
      <xdr:rowOff>7621</xdr:rowOff>
    </xdr:from>
    <xdr:to>
      <xdr:col>20</xdr:col>
      <xdr:colOff>245241</xdr:colOff>
      <xdr:row>24</xdr:row>
      <xdr:rowOff>148896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356E0ED1-AB81-49BE-B4E2-E3DD7A6F6B4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396240</xdr:colOff>
      <xdr:row>4</xdr:row>
      <xdr:rowOff>152400</xdr:rowOff>
    </xdr:from>
    <xdr:to>
      <xdr:col>14</xdr:col>
      <xdr:colOff>45720</xdr:colOff>
      <xdr:row>17</xdr:row>
      <xdr:rowOff>152399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5497B4F-648B-4A26-B6AA-F63C92C1FA6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335280</xdr:colOff>
      <xdr:row>1</xdr:row>
      <xdr:rowOff>198120</xdr:rowOff>
    </xdr:from>
    <xdr:to>
      <xdr:col>13</xdr:col>
      <xdr:colOff>434340</xdr:colOff>
      <xdr:row>21</xdr:row>
      <xdr:rowOff>60960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DC5F9FE-1E02-45E0-8CD6-F7CED1BA736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510540</xdr:colOff>
      <xdr:row>3</xdr:row>
      <xdr:rowOff>106680</xdr:rowOff>
    </xdr:from>
    <xdr:to>
      <xdr:col>17</xdr:col>
      <xdr:colOff>235519</xdr:colOff>
      <xdr:row>18</xdr:row>
      <xdr:rowOff>106679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0D988CC-E470-4B03-BFA4-159DA650724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375313</xdr:colOff>
      <xdr:row>6</xdr:row>
      <xdr:rowOff>34119</xdr:rowOff>
    </xdr:from>
    <xdr:to>
      <xdr:col>10</xdr:col>
      <xdr:colOff>571500</xdr:colOff>
      <xdr:row>21</xdr:row>
      <xdr:rowOff>170597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874863E-1AED-41AC-9C66-0AAFD47F57E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107652</xdr:colOff>
      <xdr:row>6</xdr:row>
      <xdr:rowOff>34119</xdr:rowOff>
    </xdr:from>
    <xdr:to>
      <xdr:col>22</xdr:col>
      <xdr:colOff>161925</xdr:colOff>
      <xdr:row>21</xdr:row>
      <xdr:rowOff>170596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C43E71F-8977-4CAE-93FD-AE43FDB5E7D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491068</xdr:colOff>
      <xdr:row>23</xdr:row>
      <xdr:rowOff>13512</xdr:rowOff>
    </xdr:from>
    <xdr:to>
      <xdr:col>19</xdr:col>
      <xdr:colOff>323849</xdr:colOff>
      <xdr:row>37</xdr:row>
      <xdr:rowOff>9525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D6BA7B67-6666-470F-AC6F-68F0420D89C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" refreshedDate="46061.6746025463" createdVersion="6" refreshedVersion="6" minRefreshableVersion="3" recordCount="36" xr:uid="{07A7267B-9876-4F98-9665-0599D0335711}">
  <cacheSource type="worksheet">
    <worksheetSource ref="A1:G37" sheet="Data"/>
  </cacheSource>
  <cacheFields count="7">
    <cacheField name="Month" numFmtId="0">
      <sharedItems count="6">
        <s v="Jan"/>
        <s v="Feb"/>
        <s v="Mar"/>
        <s v="Apr"/>
        <s v="May"/>
        <s v="Jun"/>
      </sharedItems>
    </cacheField>
    <cacheField name="Department" numFmtId="0">
      <sharedItems count="4">
        <s v="IT"/>
        <s v="HR"/>
        <s v="Finance"/>
        <s v="Admin"/>
      </sharedItems>
    </cacheField>
    <cacheField name="Category" numFmtId="0">
      <sharedItems count="6">
        <s v="Software Licenses"/>
        <s v="Cloud Services"/>
        <s v="Salaries"/>
        <s v="Recruitment"/>
        <s v="Audit &amp; Consulting"/>
        <s v="Office Rent"/>
      </sharedItems>
    </cacheField>
    <cacheField name="Budget" numFmtId="3">
      <sharedItems containsSemiMixedTypes="0" containsString="0" containsNumber="1" containsInteger="1" minValue="60000" maxValue="1250000"/>
    </cacheField>
    <cacheField name="Actual" numFmtId="3">
      <sharedItems containsSemiMixedTypes="0" containsString="0" containsNumber="1" containsInteger="1" minValue="55000" maxValue="1270000"/>
    </cacheField>
    <cacheField name="Variance" numFmtId="3">
      <sharedItems containsSemiMixedTypes="0" containsString="0" containsNumber="1" containsInteger="1" minValue="-10000" maxValue="30000"/>
    </cacheField>
    <cacheField name="Variance %" numFmtId="10">
      <sharedItems containsSemiMixedTypes="0" containsString="0" containsNumber="1" minValue="-8.3333333333333329E-2" maxValue="0.46666666666666667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" refreshedDate="46061.710738657406" createdVersion="6" refreshedVersion="6" minRefreshableVersion="3" recordCount="36" xr:uid="{40F3760C-1B08-4F94-9686-8C9434BAC696}">
  <cacheSource type="worksheet">
    <worksheetSource ref="A1:G37" sheet="Data"/>
  </cacheSource>
  <cacheFields count="7">
    <cacheField name="Month" numFmtId="0">
      <sharedItems count="6">
        <s v="Jan"/>
        <s v="Feb"/>
        <s v="Mar"/>
        <s v="Apr"/>
        <s v="May"/>
        <s v="Jun"/>
      </sharedItems>
    </cacheField>
    <cacheField name="Department" numFmtId="0">
      <sharedItems count="4">
        <s v="IT"/>
        <s v="HR"/>
        <s v="Finance"/>
        <s v="Admin"/>
      </sharedItems>
    </cacheField>
    <cacheField name="Category" numFmtId="0">
      <sharedItems count="6">
        <s v="Software Licenses"/>
        <s v="Cloud Services"/>
        <s v="Salaries"/>
        <s v="Recruitment"/>
        <s v="Audit &amp; Consulting"/>
        <s v="Office Rent"/>
      </sharedItems>
    </cacheField>
    <cacheField name="Budget" numFmtId="44">
      <sharedItems containsSemiMixedTypes="0" containsString="0" containsNumber="1" containsInteger="1" minValue="60000" maxValue="1250000"/>
    </cacheField>
    <cacheField name="Actual" numFmtId="164">
      <sharedItems containsSemiMixedTypes="0" containsString="0" containsNumber="1" containsInteger="1" minValue="55000" maxValue="1270000"/>
    </cacheField>
    <cacheField name="Variance" numFmtId="3">
      <sharedItems containsSemiMixedTypes="0" containsString="0" containsNumber="1" containsInteger="1" minValue="-10000" maxValue="30000"/>
    </cacheField>
    <cacheField name="Variance %" numFmtId="10">
      <sharedItems containsSemiMixedTypes="0" containsString="0" containsNumber="1" minValue="-8.3333333333333329E-2" maxValue="0.46666666666666667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6">
  <r>
    <x v="0"/>
    <x v="0"/>
    <x v="0"/>
    <n v="180000"/>
    <n v="185000"/>
    <n v="5000"/>
    <n v="2.7777777777777776E-2"/>
  </r>
  <r>
    <x v="0"/>
    <x v="0"/>
    <x v="1"/>
    <n v="250000"/>
    <n v="242000"/>
    <n v="-8000"/>
    <n v="-3.2000000000000001E-2"/>
  </r>
  <r>
    <x v="0"/>
    <x v="1"/>
    <x v="2"/>
    <n v="1200000"/>
    <n v="1195000"/>
    <n v="-5000"/>
    <n v="-4.1666666666666666E-3"/>
  </r>
  <r>
    <x v="0"/>
    <x v="1"/>
    <x v="3"/>
    <n v="75000"/>
    <n v="82000"/>
    <n v="7000"/>
    <n v="9.3333333333333338E-2"/>
  </r>
  <r>
    <x v="0"/>
    <x v="2"/>
    <x v="4"/>
    <n v="120000"/>
    <n v="110000"/>
    <n v="-10000"/>
    <n v="-8.3333333333333329E-2"/>
  </r>
  <r>
    <x v="0"/>
    <x v="3"/>
    <x v="5"/>
    <n v="450000"/>
    <n v="450000"/>
    <n v="0"/>
    <n v="0"/>
  </r>
  <r>
    <x v="1"/>
    <x v="0"/>
    <x v="0"/>
    <n v="180000"/>
    <n v="178000"/>
    <n v="-2000"/>
    <n v="-1.1111111111111112E-2"/>
  </r>
  <r>
    <x v="1"/>
    <x v="0"/>
    <x v="1"/>
    <n v="250000"/>
    <n v="255000"/>
    <n v="5000"/>
    <n v="0.02"/>
  </r>
  <r>
    <x v="1"/>
    <x v="1"/>
    <x v="2"/>
    <n v="1200000"/>
    <n v="1205000"/>
    <n v="5000"/>
    <n v="4.1666666666666666E-3"/>
  </r>
  <r>
    <x v="1"/>
    <x v="1"/>
    <x v="3"/>
    <n v="75000"/>
    <n v="70000"/>
    <n v="-5000"/>
    <n v="-6.6666666666666666E-2"/>
  </r>
  <r>
    <x v="1"/>
    <x v="2"/>
    <x v="4"/>
    <n v="120000"/>
    <n v="125000"/>
    <n v="5000"/>
    <n v="4.1666666666666664E-2"/>
  </r>
  <r>
    <x v="1"/>
    <x v="3"/>
    <x v="5"/>
    <n v="450000"/>
    <n v="450000"/>
    <n v="0"/>
    <n v="0"/>
  </r>
  <r>
    <x v="2"/>
    <x v="0"/>
    <x v="0"/>
    <n v="180000"/>
    <n v="190000"/>
    <n v="10000"/>
    <n v="5.5555555555555552E-2"/>
  </r>
  <r>
    <x v="2"/>
    <x v="0"/>
    <x v="1"/>
    <n v="250000"/>
    <n v="270000"/>
    <n v="20000"/>
    <n v="0.08"/>
  </r>
  <r>
    <x v="2"/>
    <x v="1"/>
    <x v="2"/>
    <n v="1200000"/>
    <n v="1210000"/>
    <n v="10000"/>
    <n v="8.3333333333333332E-3"/>
  </r>
  <r>
    <x v="2"/>
    <x v="1"/>
    <x v="3"/>
    <n v="75000"/>
    <n v="95000"/>
    <n v="20000"/>
    <n v="0.26666666666666666"/>
  </r>
  <r>
    <x v="2"/>
    <x v="2"/>
    <x v="4"/>
    <n v="120000"/>
    <n v="135000"/>
    <n v="15000"/>
    <n v="0.125"/>
  </r>
  <r>
    <x v="2"/>
    <x v="3"/>
    <x v="5"/>
    <n v="450000"/>
    <n v="450000"/>
    <n v="0"/>
    <n v="0"/>
  </r>
  <r>
    <x v="3"/>
    <x v="0"/>
    <x v="0"/>
    <n v="180000"/>
    <n v="176000"/>
    <n v="-4000"/>
    <n v="-2.2222222222222223E-2"/>
  </r>
  <r>
    <x v="3"/>
    <x v="0"/>
    <x v="1"/>
    <n v="250000"/>
    <n v="248000"/>
    <n v="-2000"/>
    <n v="-8.0000000000000002E-3"/>
  </r>
  <r>
    <x v="3"/>
    <x v="1"/>
    <x v="2"/>
    <n v="1250000"/>
    <n v="1245000"/>
    <n v="-5000"/>
    <n v="-4.0000000000000001E-3"/>
  </r>
  <r>
    <x v="3"/>
    <x v="1"/>
    <x v="3"/>
    <n v="60000"/>
    <n v="55000"/>
    <n v="-5000"/>
    <n v="-8.3333333333333329E-2"/>
  </r>
  <r>
    <x v="3"/>
    <x v="2"/>
    <x v="4"/>
    <n v="90000"/>
    <n v="85000"/>
    <n v="-5000"/>
    <n v="-5.5555555555555552E-2"/>
  </r>
  <r>
    <x v="3"/>
    <x v="3"/>
    <x v="5"/>
    <n v="450000"/>
    <n v="450000"/>
    <n v="0"/>
    <n v="0"/>
  </r>
  <r>
    <x v="4"/>
    <x v="0"/>
    <x v="0"/>
    <n v="180000"/>
    <n v="188000"/>
    <n v="8000"/>
    <n v="4.4444444444444446E-2"/>
  </r>
  <r>
    <x v="4"/>
    <x v="0"/>
    <x v="1"/>
    <n v="250000"/>
    <n v="265000"/>
    <n v="15000"/>
    <n v="0.06"/>
  </r>
  <r>
    <x v="4"/>
    <x v="1"/>
    <x v="2"/>
    <n v="1250000"/>
    <n v="1260000"/>
    <n v="10000"/>
    <n v="8.0000000000000002E-3"/>
  </r>
  <r>
    <x v="4"/>
    <x v="1"/>
    <x v="3"/>
    <n v="60000"/>
    <n v="72000"/>
    <n v="12000"/>
    <n v="0.2"/>
  </r>
  <r>
    <x v="4"/>
    <x v="2"/>
    <x v="4"/>
    <n v="90000"/>
    <n v="105000"/>
    <n v="15000"/>
    <n v="0.16666666666666666"/>
  </r>
  <r>
    <x v="4"/>
    <x v="3"/>
    <x v="5"/>
    <n v="450000"/>
    <n v="450000"/>
    <n v="0"/>
    <n v="0"/>
  </r>
  <r>
    <x v="5"/>
    <x v="0"/>
    <x v="0"/>
    <n v="180000"/>
    <n v="192000"/>
    <n v="12000"/>
    <n v="6.6666666666666666E-2"/>
  </r>
  <r>
    <x v="5"/>
    <x v="0"/>
    <x v="1"/>
    <n v="250000"/>
    <n v="280000"/>
    <n v="30000"/>
    <n v="0.12"/>
  </r>
  <r>
    <x v="5"/>
    <x v="1"/>
    <x v="2"/>
    <n v="1250000"/>
    <n v="1270000"/>
    <n v="20000"/>
    <n v="1.6E-2"/>
  </r>
  <r>
    <x v="5"/>
    <x v="1"/>
    <x v="3"/>
    <n v="60000"/>
    <n v="88000"/>
    <n v="28000"/>
    <n v="0.46666666666666667"/>
  </r>
  <r>
    <x v="5"/>
    <x v="2"/>
    <x v="4"/>
    <n v="90000"/>
    <n v="120000"/>
    <n v="30000"/>
    <n v="0.33333333333333331"/>
  </r>
  <r>
    <x v="5"/>
    <x v="3"/>
    <x v="5"/>
    <n v="450000"/>
    <n v="450000"/>
    <n v="0"/>
    <n v="0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6">
  <r>
    <x v="0"/>
    <x v="0"/>
    <x v="0"/>
    <n v="180000"/>
    <n v="185000"/>
    <n v="5000"/>
    <n v="2.7777777777777776E-2"/>
  </r>
  <r>
    <x v="0"/>
    <x v="0"/>
    <x v="1"/>
    <n v="250000"/>
    <n v="242000"/>
    <n v="-8000"/>
    <n v="-3.2000000000000001E-2"/>
  </r>
  <r>
    <x v="0"/>
    <x v="1"/>
    <x v="2"/>
    <n v="1200000"/>
    <n v="1195000"/>
    <n v="-5000"/>
    <n v="-4.1666666666666666E-3"/>
  </r>
  <r>
    <x v="0"/>
    <x v="1"/>
    <x v="3"/>
    <n v="75000"/>
    <n v="82000"/>
    <n v="7000"/>
    <n v="9.3333333333333338E-2"/>
  </r>
  <r>
    <x v="0"/>
    <x v="2"/>
    <x v="4"/>
    <n v="120000"/>
    <n v="110000"/>
    <n v="-10000"/>
    <n v="-8.3333333333333329E-2"/>
  </r>
  <r>
    <x v="0"/>
    <x v="3"/>
    <x v="5"/>
    <n v="450000"/>
    <n v="450000"/>
    <n v="0"/>
    <n v="0"/>
  </r>
  <r>
    <x v="1"/>
    <x v="0"/>
    <x v="0"/>
    <n v="180000"/>
    <n v="178000"/>
    <n v="-2000"/>
    <n v="-1.1111111111111112E-2"/>
  </r>
  <r>
    <x v="1"/>
    <x v="0"/>
    <x v="1"/>
    <n v="250000"/>
    <n v="255000"/>
    <n v="5000"/>
    <n v="0.02"/>
  </r>
  <r>
    <x v="1"/>
    <x v="1"/>
    <x v="2"/>
    <n v="1200000"/>
    <n v="1205000"/>
    <n v="5000"/>
    <n v="4.1666666666666666E-3"/>
  </r>
  <r>
    <x v="1"/>
    <x v="1"/>
    <x v="3"/>
    <n v="75000"/>
    <n v="70000"/>
    <n v="-5000"/>
    <n v="-6.6666666666666666E-2"/>
  </r>
  <r>
    <x v="1"/>
    <x v="2"/>
    <x v="4"/>
    <n v="120000"/>
    <n v="125000"/>
    <n v="5000"/>
    <n v="4.1666666666666664E-2"/>
  </r>
  <r>
    <x v="1"/>
    <x v="3"/>
    <x v="5"/>
    <n v="450000"/>
    <n v="450000"/>
    <n v="0"/>
    <n v="0"/>
  </r>
  <r>
    <x v="2"/>
    <x v="0"/>
    <x v="0"/>
    <n v="180000"/>
    <n v="190000"/>
    <n v="10000"/>
    <n v="5.5555555555555552E-2"/>
  </r>
  <r>
    <x v="2"/>
    <x v="0"/>
    <x v="1"/>
    <n v="250000"/>
    <n v="270000"/>
    <n v="20000"/>
    <n v="0.08"/>
  </r>
  <r>
    <x v="2"/>
    <x v="1"/>
    <x v="2"/>
    <n v="1200000"/>
    <n v="1210000"/>
    <n v="10000"/>
    <n v="8.3333333333333332E-3"/>
  </r>
  <r>
    <x v="2"/>
    <x v="1"/>
    <x v="3"/>
    <n v="75000"/>
    <n v="95000"/>
    <n v="20000"/>
    <n v="0.26666666666666666"/>
  </r>
  <r>
    <x v="2"/>
    <x v="2"/>
    <x v="4"/>
    <n v="120000"/>
    <n v="135000"/>
    <n v="15000"/>
    <n v="0.125"/>
  </r>
  <r>
    <x v="2"/>
    <x v="3"/>
    <x v="5"/>
    <n v="450000"/>
    <n v="450000"/>
    <n v="0"/>
    <n v="0"/>
  </r>
  <r>
    <x v="3"/>
    <x v="0"/>
    <x v="0"/>
    <n v="180000"/>
    <n v="176000"/>
    <n v="-4000"/>
    <n v="-2.2222222222222223E-2"/>
  </r>
  <r>
    <x v="3"/>
    <x v="0"/>
    <x v="1"/>
    <n v="250000"/>
    <n v="248000"/>
    <n v="-2000"/>
    <n v="-8.0000000000000002E-3"/>
  </r>
  <r>
    <x v="3"/>
    <x v="1"/>
    <x v="2"/>
    <n v="1250000"/>
    <n v="1245000"/>
    <n v="-5000"/>
    <n v="-4.0000000000000001E-3"/>
  </r>
  <r>
    <x v="3"/>
    <x v="1"/>
    <x v="3"/>
    <n v="60000"/>
    <n v="55000"/>
    <n v="-5000"/>
    <n v="-8.3333333333333329E-2"/>
  </r>
  <r>
    <x v="3"/>
    <x v="2"/>
    <x v="4"/>
    <n v="90000"/>
    <n v="85000"/>
    <n v="-5000"/>
    <n v="-5.5555555555555552E-2"/>
  </r>
  <r>
    <x v="3"/>
    <x v="3"/>
    <x v="5"/>
    <n v="450000"/>
    <n v="450000"/>
    <n v="0"/>
    <n v="0"/>
  </r>
  <r>
    <x v="4"/>
    <x v="0"/>
    <x v="0"/>
    <n v="180000"/>
    <n v="188000"/>
    <n v="8000"/>
    <n v="4.4444444444444446E-2"/>
  </r>
  <r>
    <x v="4"/>
    <x v="0"/>
    <x v="1"/>
    <n v="250000"/>
    <n v="265000"/>
    <n v="15000"/>
    <n v="0.06"/>
  </r>
  <r>
    <x v="4"/>
    <x v="1"/>
    <x v="2"/>
    <n v="1250000"/>
    <n v="1260000"/>
    <n v="10000"/>
    <n v="8.0000000000000002E-3"/>
  </r>
  <r>
    <x v="4"/>
    <x v="1"/>
    <x v="3"/>
    <n v="60000"/>
    <n v="72000"/>
    <n v="12000"/>
    <n v="0.2"/>
  </r>
  <r>
    <x v="4"/>
    <x v="2"/>
    <x v="4"/>
    <n v="90000"/>
    <n v="105000"/>
    <n v="15000"/>
    <n v="0.16666666666666666"/>
  </r>
  <r>
    <x v="4"/>
    <x v="3"/>
    <x v="5"/>
    <n v="450000"/>
    <n v="450000"/>
    <n v="0"/>
    <n v="0"/>
  </r>
  <r>
    <x v="5"/>
    <x v="0"/>
    <x v="0"/>
    <n v="180000"/>
    <n v="192000"/>
    <n v="12000"/>
    <n v="6.6666666666666666E-2"/>
  </r>
  <r>
    <x v="5"/>
    <x v="0"/>
    <x v="1"/>
    <n v="250000"/>
    <n v="280000"/>
    <n v="30000"/>
    <n v="0.12"/>
  </r>
  <r>
    <x v="5"/>
    <x v="1"/>
    <x v="2"/>
    <n v="1250000"/>
    <n v="1270000"/>
    <n v="20000"/>
    <n v="1.6E-2"/>
  </r>
  <r>
    <x v="5"/>
    <x v="1"/>
    <x v="3"/>
    <n v="60000"/>
    <n v="88000"/>
    <n v="28000"/>
    <n v="0.46666666666666667"/>
  </r>
  <r>
    <x v="5"/>
    <x v="2"/>
    <x v="4"/>
    <n v="90000"/>
    <n v="120000"/>
    <n v="30000"/>
    <n v="0.33333333333333331"/>
  </r>
  <r>
    <x v="5"/>
    <x v="3"/>
    <x v="5"/>
    <n v="450000"/>
    <n v="450000"/>
    <n v="0"/>
    <n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9CE8E36-98B1-430D-9892-3C1E51B2D9C2}" name="PivotTable3" cacheId="8" applyNumberFormats="0" applyBorderFormats="0" applyFontFormats="0" applyPatternFormats="0" applyAlignmentFormats="0" applyWidthHeightFormats="1" dataCaption="Values" updatedVersion="6" minRefreshableVersion="3" useAutoFormatting="1" itemPrintTitles="1" createdVersion="6" indent="0" outline="1" outlineData="1" multipleFieldFilters="0" chartFormat="7" rowHeaderCaption="Month">
  <location ref="B8:D15" firstHeaderRow="0" firstDataRow="1" firstDataCol="1"/>
  <pivotFields count="7">
    <pivotField axis="axisRow" showAll="0">
      <items count="7">
        <item x="0"/>
        <item x="1"/>
        <item x="2"/>
        <item x="3"/>
        <item x="4"/>
        <item x="5"/>
        <item t="default"/>
      </items>
    </pivotField>
    <pivotField showAll="0"/>
    <pivotField showAll="0"/>
    <pivotField dataField="1" numFmtId="3" showAll="0"/>
    <pivotField dataField="1" numFmtId="3" showAll="0"/>
    <pivotField numFmtId="3" showAll="0"/>
    <pivotField numFmtId="10" showAll="0"/>
  </pivotFields>
  <rowFields count="1">
    <field x="0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Fields count="1">
    <field x="-2"/>
  </colFields>
  <colItems count="2">
    <i>
      <x/>
    </i>
    <i i="1">
      <x v="1"/>
    </i>
  </colItems>
  <dataFields count="2">
    <dataField name="Sum of Budget" fld="3" baseField="0" baseItem="0"/>
    <dataField name="Sum of Actual" fld="4" baseField="0" baseItem="0"/>
  </dataFields>
  <formats count="6">
    <format dxfId="34">
      <pivotArea type="all" dataOnly="0" outline="0" fieldPosition="0"/>
    </format>
    <format dxfId="33">
      <pivotArea outline="0" collapsedLevelsAreSubtotals="1" fieldPosition="0"/>
    </format>
    <format dxfId="32">
      <pivotArea field="0" type="button" dataOnly="0" labelOnly="1" outline="0" axis="axisRow" fieldPosition="0"/>
    </format>
    <format dxfId="31">
      <pivotArea dataOnly="0" labelOnly="1" fieldPosition="0">
        <references count="1">
          <reference field="0" count="0"/>
        </references>
      </pivotArea>
    </format>
    <format dxfId="30">
      <pivotArea dataOnly="0" labelOnly="1" grandRow="1" outline="0" fieldPosition="0"/>
    </format>
    <format dxfId="29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</formats>
  <chartFormats count="4">
    <chartFormat chart="0" format="16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7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6" format="2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6" format="21" series="1">
      <pivotArea type="data" outline="0" fieldPosition="0">
        <references count="1">
          <reference field="4294967294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E11C3A7-80BB-4E83-BB9F-18DA416D7917}" name="PivotTable6" cacheId="8" applyNumberFormats="0" applyBorderFormats="0" applyFontFormats="0" applyPatternFormats="0" applyAlignmentFormats="0" applyWidthHeightFormats="1" dataCaption="Values" updatedVersion="6" minRefreshableVersion="3" useAutoFormatting="1" itemPrintTitles="1" createdVersion="6" indent="0" outline="1" outlineData="1" multipleFieldFilters="0" chartFormat="8" rowHeaderCaption="Department">
  <location ref="B5:C10" firstHeaderRow="1" firstDataRow="1" firstDataCol="1"/>
  <pivotFields count="7">
    <pivotField multipleItemSelectionAllowed="1" showAll="0"/>
    <pivotField axis="axisRow" showAll="0">
      <items count="5">
        <item sd="0" x="3"/>
        <item sd="0" x="2"/>
        <item sd="0" x="1"/>
        <item sd="0" x="0"/>
        <item t="default"/>
      </items>
    </pivotField>
    <pivotField showAll="0"/>
    <pivotField numFmtId="3" showAll="0"/>
    <pivotField numFmtId="3" showAll="0"/>
    <pivotField dataField="1" numFmtId="3" showAll="0"/>
    <pivotField numFmtId="10" showAll="0"/>
  </pivotFields>
  <rowFields count="1">
    <field x="1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Sum of Variance" fld="5" baseField="0" baseItem="0"/>
  </dataFields>
  <formats count="6">
    <format dxfId="28">
      <pivotArea type="all" dataOnly="0" outline="0" fieldPosition="0"/>
    </format>
    <format dxfId="27">
      <pivotArea outline="0" collapsedLevelsAreSubtotals="1" fieldPosition="0"/>
    </format>
    <format dxfId="26">
      <pivotArea field="1" type="button" dataOnly="0" labelOnly="1" outline="0" axis="axisRow" fieldPosition="0"/>
    </format>
    <format dxfId="25">
      <pivotArea dataOnly="0" labelOnly="1" fieldPosition="0">
        <references count="1">
          <reference field="1" count="0"/>
        </references>
      </pivotArea>
    </format>
    <format dxfId="24">
      <pivotArea dataOnly="0" labelOnly="1" grandRow="1" outline="0" fieldPosition="0"/>
    </format>
    <format dxfId="23">
      <pivotArea dataOnly="0" labelOnly="1" outline="0" axis="axisValues" fieldPosition="0"/>
    </format>
  </formats>
  <chartFormats count="5">
    <chartFormat chart="2" format="33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7" format="35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7" format="36">
      <pivotArea type="data" outline="0" fieldPosition="0">
        <references count="2">
          <reference field="4294967294" count="1" selected="0">
            <x v="0"/>
          </reference>
          <reference field="1" count="1" selected="0">
            <x v="3"/>
          </reference>
        </references>
      </pivotArea>
    </chartFormat>
    <chartFormat chart="7" format="37">
      <pivotArea type="data" outline="0" fieldPosition="0">
        <references count="2">
          <reference field="4294967294" count="1" selected="0">
            <x v="0"/>
          </reference>
          <reference field="1" count="1" selected="0">
            <x v="2"/>
          </reference>
        </references>
      </pivotArea>
    </chartFormat>
    <chartFormat chart="7" format="38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CA288FD-8E0F-432B-AA30-FA9BD00D64A2}" name="PivotTable1" cacheId="8" applyNumberFormats="0" applyBorderFormats="0" applyFontFormats="0" applyPatternFormats="0" applyAlignmentFormats="0" applyWidthHeightFormats="1" dataCaption="Values" updatedVersion="6" minRefreshableVersion="3" useAutoFormatting="1" itemPrintTitles="1" createdVersion="6" indent="0" outline="1" outlineData="1" multipleFieldFilters="0" chartFormat="4" rowHeaderCaption="Category">
  <location ref="B4:C11" firstHeaderRow="1" firstDataRow="1" firstDataCol="1"/>
  <pivotFields count="7">
    <pivotField multipleItemSelectionAllowed="1" showAll="0"/>
    <pivotField showAll="0"/>
    <pivotField axis="axisRow" showAll="0">
      <items count="7">
        <item x="4"/>
        <item x="1"/>
        <item x="5"/>
        <item x="3"/>
        <item x="2"/>
        <item x="0"/>
        <item t="default"/>
      </items>
    </pivotField>
    <pivotField numFmtId="3" showAll="0"/>
    <pivotField numFmtId="3" showAll="0"/>
    <pivotField dataField="1" numFmtId="3" showAll="0"/>
    <pivotField numFmtId="10" showAll="0"/>
  </pivotFields>
  <rowFields count="1">
    <field x="2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Items count="1">
    <i/>
  </colItems>
  <dataFields count="1">
    <dataField name="Sum of Variance" fld="5" baseField="0" baseItem="0"/>
  </dataFields>
  <formats count="6">
    <format dxfId="22">
      <pivotArea type="all" dataOnly="0" outline="0" fieldPosition="0"/>
    </format>
    <format dxfId="21">
      <pivotArea outline="0" collapsedLevelsAreSubtotals="1" fieldPosition="0"/>
    </format>
    <format dxfId="20">
      <pivotArea field="2" type="button" dataOnly="0" labelOnly="1" outline="0" axis="axisRow" fieldPosition="0"/>
    </format>
    <format dxfId="19">
      <pivotArea dataOnly="0" labelOnly="1" fieldPosition="0">
        <references count="1">
          <reference field="2" count="0"/>
        </references>
      </pivotArea>
    </format>
    <format dxfId="18">
      <pivotArea dataOnly="0" labelOnly="1" grandRow="1" outline="0" fieldPosition="0"/>
    </format>
    <format dxfId="17">
      <pivotArea dataOnly="0" labelOnly="1" outline="0" axis="axisValues" fieldPosition="0"/>
    </format>
  </formats>
  <chartFormats count="3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D7566D1-284E-4B13-84A6-FA2575559E60}" name="PivotTable2" cacheId="7" applyNumberFormats="0" applyBorderFormats="0" applyFontFormats="0" applyPatternFormats="0" applyAlignmentFormats="0" applyWidthHeightFormats="1" dataCaption="Values" updatedVersion="6" minRefreshableVersion="3" useAutoFormatting="1" itemPrintTitles="1" createdVersion="6" indent="0" outline="1" outlineData="1" multipleFieldFilters="0" rowHeaderCaption="Month">
  <location ref="B5:C12" firstHeaderRow="1" firstDataRow="1" firstDataCol="1"/>
  <pivotFields count="7">
    <pivotField axis="axisRow" showAll="0">
      <items count="7">
        <item x="0"/>
        <item x="1"/>
        <item x="2"/>
        <item x="3"/>
        <item x="4"/>
        <item x="5"/>
        <item t="default"/>
      </items>
    </pivotField>
    <pivotField showAll="0"/>
    <pivotField showAll="0"/>
    <pivotField numFmtId="3" showAll="0"/>
    <pivotField dataField="1" numFmtId="3" showAll="0"/>
    <pivotField numFmtId="3" showAll="0"/>
    <pivotField numFmtId="10" showAll="0"/>
  </pivotFields>
  <rowFields count="1">
    <field x="0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Items count="1">
    <i/>
  </colItems>
  <dataFields count="1">
    <dataField name="Sum of Actual" fld="4" baseField="0" baseItem="0"/>
  </dataFields>
  <formats count="6">
    <format dxfId="16">
      <pivotArea type="all" dataOnly="0" outline="0" fieldPosition="0"/>
    </format>
    <format dxfId="15">
      <pivotArea outline="0" collapsedLevelsAreSubtotals="1" fieldPosition="0"/>
    </format>
    <format dxfId="14">
      <pivotArea field="0" type="button" dataOnly="0" labelOnly="1" outline="0" axis="axisRow" fieldPosition="0"/>
    </format>
    <format dxfId="13">
      <pivotArea dataOnly="0" labelOnly="1" fieldPosition="0">
        <references count="1">
          <reference field="0" count="0"/>
        </references>
      </pivotArea>
    </format>
    <format dxfId="12">
      <pivotArea dataOnly="0" labelOnly="1" grandRow="1" outline="0" fieldPosition="0"/>
    </format>
    <format dxfId="11">
      <pivotArea dataOnly="0" labelOnly="1" outline="0" axis="axisValues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41B4B06-5824-4EDE-B5C8-F833E588C448}" name="Table1" displayName="Table1" ref="E5:G8" totalsRowShown="0" headerRowDxfId="10" dataDxfId="8" headerRowBorderDxfId="9" tableBorderDxfId="7" totalsRowBorderDxfId="6">
  <autoFilter ref="E5:G8" xr:uid="{5426D36E-4D5A-4D9F-82DD-1A9BD2265F0A}"/>
  <tableColumns count="3">
    <tableColumn id="1" xr3:uid="{9EB395A4-5E6F-4C4F-9197-255EA9EDCCF5}" name="Month" dataDxfId="5"/>
    <tableColumn id="2" xr3:uid="{30F4BC6E-5F4A-4A5F-AA95-D0F77B604164}" name="Actual" dataDxfId="4"/>
    <tableColumn id="3" xr3:uid="{68DD9B62-4F11-4C72-B359-1F97F0C694EF}" name="Forecast" dataDxfId="3">
      <calculatedColumnFormula>AVERAGE('Actual vs Forecast'!C6:C8)</calculatedColumnFormula>
    </tableColumn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2.bin"/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ivotTable" Target="../pivotTables/pivotTable2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ivotTable" Target="../pivotTables/pivotTable3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4.xml"/><Relationship Id="rId2" Type="http://schemas.openxmlformats.org/officeDocument/2006/relationships/printerSettings" Target="../printerSettings/printerSettings3.bin"/><Relationship Id="rId1" Type="http://schemas.openxmlformats.org/officeDocument/2006/relationships/pivotTable" Target="../pivotTables/pivotTable4.xml"/><Relationship Id="rId4" Type="http://schemas.openxmlformats.org/officeDocument/2006/relationships/table" Target="../tables/table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375C48-4638-4D8B-8EF0-DB53078FBE42}">
  <dimension ref="A1:K37"/>
  <sheetViews>
    <sheetView topLeftCell="C1" workbookViewId="0">
      <pane ySplit="1" topLeftCell="A2" activePane="bottomLeft" state="frozen"/>
      <selection pane="bottomLeft" activeCell="K4" sqref="K4"/>
    </sheetView>
  </sheetViews>
  <sheetFormatPr defaultRowHeight="14.4" x14ac:dyDescent="0.3"/>
  <cols>
    <col min="1" max="1" width="7.33203125" bestFit="1" customWidth="1"/>
    <col min="2" max="2" width="12.33203125" bestFit="1" customWidth="1"/>
    <col min="3" max="3" width="18.88671875" bestFit="1" customWidth="1"/>
    <col min="4" max="4" width="15.5546875" style="30" bestFit="1" customWidth="1"/>
    <col min="5" max="5" width="15.5546875" style="31" bestFit="1" customWidth="1"/>
    <col min="6" max="6" width="9.109375" bestFit="1" customWidth="1"/>
    <col min="7" max="7" width="11.33203125" bestFit="1" customWidth="1"/>
    <col min="10" max="10" width="24" bestFit="1" customWidth="1"/>
    <col min="11" max="11" width="11.44140625" bestFit="1" customWidth="1"/>
  </cols>
  <sheetData>
    <row r="1" spans="1:11" ht="15.6" x14ac:dyDescent="0.3">
      <c r="A1" s="15" t="s">
        <v>0</v>
      </c>
      <c r="B1" s="15" t="s">
        <v>13</v>
      </c>
      <c r="C1" s="15" t="s">
        <v>14</v>
      </c>
      <c r="D1" s="26" t="s">
        <v>2</v>
      </c>
      <c r="E1" s="27" t="s">
        <v>1</v>
      </c>
      <c r="F1" s="15" t="s">
        <v>21</v>
      </c>
      <c r="G1" s="15" t="s">
        <v>22</v>
      </c>
    </row>
    <row r="2" spans="1:11" ht="15.6" x14ac:dyDescent="0.3">
      <c r="A2" s="16" t="s">
        <v>3</v>
      </c>
      <c r="B2" s="16" t="s">
        <v>9</v>
      </c>
      <c r="C2" s="16" t="s">
        <v>15</v>
      </c>
      <c r="D2" s="28">
        <v>180000</v>
      </c>
      <c r="E2" s="29">
        <v>185000</v>
      </c>
      <c r="F2" s="17">
        <f>E2-D2</f>
        <v>5000</v>
      </c>
      <c r="G2" s="18">
        <f>IF(D2=0,"",(E2-D2)/D2)</f>
        <v>2.7777777777777776E-2</v>
      </c>
    </row>
    <row r="3" spans="1:11" ht="15.6" x14ac:dyDescent="0.3">
      <c r="A3" s="16" t="s">
        <v>3</v>
      </c>
      <c r="B3" s="16" t="s">
        <v>9</v>
      </c>
      <c r="C3" s="16" t="s">
        <v>16</v>
      </c>
      <c r="D3" s="28">
        <v>250000</v>
      </c>
      <c r="E3" s="29">
        <v>242000</v>
      </c>
      <c r="F3" s="17">
        <f t="shared" ref="F3:F37" si="0">E3-D3</f>
        <v>-8000</v>
      </c>
      <c r="G3" s="18">
        <f t="shared" ref="G3:G37" si="1">IF(D3=0,"",(E3-D3)/D3)</f>
        <v>-3.2000000000000001E-2</v>
      </c>
      <c r="J3" s="35" t="s">
        <v>29</v>
      </c>
      <c r="K3" s="35" t="s">
        <v>32</v>
      </c>
    </row>
    <row r="4" spans="1:11" ht="15.6" x14ac:dyDescent="0.3">
      <c r="A4" s="16" t="s">
        <v>3</v>
      </c>
      <c r="B4" s="16" t="s">
        <v>10</v>
      </c>
      <c r="C4" s="16" t="s">
        <v>17</v>
      </c>
      <c r="D4" s="28">
        <v>1200000</v>
      </c>
      <c r="E4" s="29">
        <v>1195000</v>
      </c>
      <c r="F4" s="17">
        <f t="shared" si="0"/>
        <v>-5000</v>
      </c>
      <c r="G4" s="18">
        <f t="shared" si="1"/>
        <v>-4.1666666666666666E-3</v>
      </c>
      <c r="J4" s="35" t="s">
        <v>30</v>
      </c>
      <c r="K4" s="36">
        <f>SUM(D16:D37)</f>
        <v>8685000</v>
      </c>
    </row>
    <row r="5" spans="1:11" ht="15.6" x14ac:dyDescent="0.3">
      <c r="A5" s="16" t="s">
        <v>3</v>
      </c>
      <c r="B5" s="16" t="s">
        <v>10</v>
      </c>
      <c r="C5" s="16" t="s">
        <v>18</v>
      </c>
      <c r="D5" s="28">
        <v>75000</v>
      </c>
      <c r="E5" s="29">
        <v>82000</v>
      </c>
      <c r="F5" s="17">
        <f t="shared" si="0"/>
        <v>7000</v>
      </c>
      <c r="G5" s="18">
        <f t="shared" si="1"/>
        <v>9.3333333333333338E-2</v>
      </c>
      <c r="J5" s="35" t="s">
        <v>31</v>
      </c>
      <c r="K5" s="36">
        <f>SUM(E16:E37)</f>
        <v>8889000</v>
      </c>
    </row>
    <row r="6" spans="1:11" ht="15.6" x14ac:dyDescent="0.3">
      <c r="A6" s="16" t="s">
        <v>3</v>
      </c>
      <c r="B6" s="16" t="s">
        <v>11</v>
      </c>
      <c r="C6" s="16" t="s">
        <v>19</v>
      </c>
      <c r="D6" s="28">
        <v>120000</v>
      </c>
      <c r="E6" s="29">
        <v>110000</v>
      </c>
      <c r="F6" s="17">
        <f t="shared" si="0"/>
        <v>-10000</v>
      </c>
      <c r="G6" s="18">
        <f t="shared" si="1"/>
        <v>-8.3333333333333329E-2</v>
      </c>
      <c r="J6" s="35" t="s">
        <v>33</v>
      </c>
      <c r="K6" s="36">
        <f>K5-K4</f>
        <v>204000</v>
      </c>
    </row>
    <row r="7" spans="1:11" ht="15.6" x14ac:dyDescent="0.3">
      <c r="A7" s="16" t="s">
        <v>3</v>
      </c>
      <c r="B7" s="16" t="s">
        <v>12</v>
      </c>
      <c r="C7" s="16" t="s">
        <v>20</v>
      </c>
      <c r="D7" s="28">
        <v>450000</v>
      </c>
      <c r="E7" s="29">
        <v>450000</v>
      </c>
      <c r="F7" s="17">
        <f t="shared" si="0"/>
        <v>0</v>
      </c>
      <c r="G7" s="18">
        <f t="shared" si="1"/>
        <v>0</v>
      </c>
      <c r="J7" s="35" t="s">
        <v>22</v>
      </c>
      <c r="K7" s="37">
        <f>K6/K4</f>
        <v>2.3488773747841106E-2</v>
      </c>
    </row>
    <row r="8" spans="1:11" ht="15.6" x14ac:dyDescent="0.3">
      <c r="A8" s="16" t="s">
        <v>4</v>
      </c>
      <c r="B8" s="16" t="s">
        <v>9</v>
      </c>
      <c r="C8" s="16" t="s">
        <v>15</v>
      </c>
      <c r="D8" s="28">
        <v>180000</v>
      </c>
      <c r="E8" s="29">
        <v>178000</v>
      </c>
      <c r="F8" s="17">
        <f t="shared" si="0"/>
        <v>-2000</v>
      </c>
      <c r="G8" s="18">
        <f t="shared" si="1"/>
        <v>-1.1111111111111112E-2</v>
      </c>
    </row>
    <row r="9" spans="1:11" ht="15.6" x14ac:dyDescent="0.3">
      <c r="A9" s="16" t="s">
        <v>4</v>
      </c>
      <c r="B9" s="16" t="s">
        <v>9</v>
      </c>
      <c r="C9" s="16" t="s">
        <v>16</v>
      </c>
      <c r="D9" s="28">
        <v>250000</v>
      </c>
      <c r="E9" s="29">
        <v>255000</v>
      </c>
      <c r="F9" s="17">
        <f t="shared" si="0"/>
        <v>5000</v>
      </c>
      <c r="G9" s="18">
        <f t="shared" si="1"/>
        <v>0.02</v>
      </c>
    </row>
    <row r="10" spans="1:11" ht="15.6" x14ac:dyDescent="0.3">
      <c r="A10" s="16" t="s">
        <v>4</v>
      </c>
      <c r="B10" s="16" t="s">
        <v>10</v>
      </c>
      <c r="C10" s="16" t="s">
        <v>17</v>
      </c>
      <c r="D10" s="28">
        <v>1200000</v>
      </c>
      <c r="E10" s="29">
        <v>1205000</v>
      </c>
      <c r="F10" s="17">
        <f t="shared" si="0"/>
        <v>5000</v>
      </c>
      <c r="G10" s="18">
        <f t="shared" si="1"/>
        <v>4.1666666666666666E-3</v>
      </c>
    </row>
    <row r="11" spans="1:11" ht="15.6" x14ac:dyDescent="0.3">
      <c r="A11" s="16" t="s">
        <v>4</v>
      </c>
      <c r="B11" s="16" t="s">
        <v>10</v>
      </c>
      <c r="C11" s="16" t="s">
        <v>18</v>
      </c>
      <c r="D11" s="28">
        <v>75000</v>
      </c>
      <c r="E11" s="29">
        <v>70000</v>
      </c>
      <c r="F11" s="17">
        <f t="shared" si="0"/>
        <v>-5000</v>
      </c>
      <c r="G11" s="18">
        <f t="shared" si="1"/>
        <v>-6.6666666666666666E-2</v>
      </c>
    </row>
    <row r="12" spans="1:11" ht="15.6" x14ac:dyDescent="0.3">
      <c r="A12" s="16" t="s">
        <v>4</v>
      </c>
      <c r="B12" s="16" t="s">
        <v>11</v>
      </c>
      <c r="C12" s="16" t="s">
        <v>19</v>
      </c>
      <c r="D12" s="28">
        <v>120000</v>
      </c>
      <c r="E12" s="29">
        <v>125000</v>
      </c>
      <c r="F12" s="17">
        <f t="shared" si="0"/>
        <v>5000</v>
      </c>
      <c r="G12" s="18">
        <f t="shared" si="1"/>
        <v>4.1666666666666664E-2</v>
      </c>
    </row>
    <row r="13" spans="1:11" ht="15.6" x14ac:dyDescent="0.3">
      <c r="A13" s="16" t="s">
        <v>4</v>
      </c>
      <c r="B13" s="16" t="s">
        <v>12</v>
      </c>
      <c r="C13" s="16" t="s">
        <v>20</v>
      </c>
      <c r="D13" s="28">
        <v>450000</v>
      </c>
      <c r="E13" s="29">
        <v>450000</v>
      </c>
      <c r="F13" s="17">
        <f t="shared" si="0"/>
        <v>0</v>
      </c>
      <c r="G13" s="18">
        <f t="shared" si="1"/>
        <v>0</v>
      </c>
    </row>
    <row r="14" spans="1:11" ht="15.6" x14ac:dyDescent="0.3">
      <c r="A14" s="16" t="s">
        <v>5</v>
      </c>
      <c r="B14" s="16" t="s">
        <v>9</v>
      </c>
      <c r="C14" s="16" t="s">
        <v>15</v>
      </c>
      <c r="D14" s="28">
        <v>180000</v>
      </c>
      <c r="E14" s="29">
        <v>190000</v>
      </c>
      <c r="F14" s="17">
        <f t="shared" si="0"/>
        <v>10000</v>
      </c>
      <c r="G14" s="18">
        <f t="shared" si="1"/>
        <v>5.5555555555555552E-2</v>
      </c>
    </row>
    <row r="15" spans="1:11" ht="15.6" x14ac:dyDescent="0.3">
      <c r="A15" s="16" t="s">
        <v>5</v>
      </c>
      <c r="B15" s="16" t="s">
        <v>9</v>
      </c>
      <c r="C15" s="16" t="s">
        <v>16</v>
      </c>
      <c r="D15" s="28">
        <v>250000</v>
      </c>
      <c r="E15" s="29">
        <v>270000</v>
      </c>
      <c r="F15" s="17">
        <f t="shared" si="0"/>
        <v>20000</v>
      </c>
      <c r="G15" s="18">
        <f t="shared" si="1"/>
        <v>0.08</v>
      </c>
    </row>
    <row r="16" spans="1:11" ht="15.6" x14ac:dyDescent="0.3">
      <c r="A16" s="16" t="s">
        <v>5</v>
      </c>
      <c r="B16" s="16" t="s">
        <v>10</v>
      </c>
      <c r="C16" s="16" t="s">
        <v>17</v>
      </c>
      <c r="D16" s="28">
        <v>1200000</v>
      </c>
      <c r="E16" s="29">
        <v>1210000</v>
      </c>
      <c r="F16" s="17">
        <f t="shared" si="0"/>
        <v>10000</v>
      </c>
      <c r="G16" s="18">
        <f t="shared" si="1"/>
        <v>8.3333333333333332E-3</v>
      </c>
    </row>
    <row r="17" spans="1:7" ht="15.6" x14ac:dyDescent="0.3">
      <c r="A17" s="16" t="s">
        <v>5</v>
      </c>
      <c r="B17" s="16" t="s">
        <v>10</v>
      </c>
      <c r="C17" s="16" t="s">
        <v>18</v>
      </c>
      <c r="D17" s="28">
        <v>75000</v>
      </c>
      <c r="E17" s="29">
        <v>95000</v>
      </c>
      <c r="F17" s="17">
        <f t="shared" si="0"/>
        <v>20000</v>
      </c>
      <c r="G17" s="18">
        <f t="shared" si="1"/>
        <v>0.26666666666666666</v>
      </c>
    </row>
    <row r="18" spans="1:7" ht="15.6" x14ac:dyDescent="0.3">
      <c r="A18" s="16" t="s">
        <v>5</v>
      </c>
      <c r="B18" s="16" t="s">
        <v>11</v>
      </c>
      <c r="C18" s="16" t="s">
        <v>19</v>
      </c>
      <c r="D18" s="28">
        <v>120000</v>
      </c>
      <c r="E18" s="29">
        <v>135000</v>
      </c>
      <c r="F18" s="17">
        <f t="shared" si="0"/>
        <v>15000</v>
      </c>
      <c r="G18" s="18">
        <f t="shared" si="1"/>
        <v>0.125</v>
      </c>
    </row>
    <row r="19" spans="1:7" ht="15.6" x14ac:dyDescent="0.3">
      <c r="A19" s="16" t="s">
        <v>5</v>
      </c>
      <c r="B19" s="16" t="s">
        <v>12</v>
      </c>
      <c r="C19" s="16" t="s">
        <v>20</v>
      </c>
      <c r="D19" s="28">
        <v>450000</v>
      </c>
      <c r="E19" s="29">
        <v>450000</v>
      </c>
      <c r="F19" s="17">
        <f t="shared" si="0"/>
        <v>0</v>
      </c>
      <c r="G19" s="18">
        <f t="shared" si="1"/>
        <v>0</v>
      </c>
    </row>
    <row r="20" spans="1:7" ht="15.6" x14ac:dyDescent="0.3">
      <c r="A20" s="16" t="s">
        <v>6</v>
      </c>
      <c r="B20" s="16" t="s">
        <v>9</v>
      </c>
      <c r="C20" s="16" t="s">
        <v>15</v>
      </c>
      <c r="D20" s="28">
        <v>180000</v>
      </c>
      <c r="E20" s="29">
        <v>176000</v>
      </c>
      <c r="F20" s="17">
        <f t="shared" si="0"/>
        <v>-4000</v>
      </c>
      <c r="G20" s="18">
        <f t="shared" si="1"/>
        <v>-2.2222222222222223E-2</v>
      </c>
    </row>
    <row r="21" spans="1:7" ht="15.6" x14ac:dyDescent="0.3">
      <c r="A21" s="16" t="s">
        <v>6</v>
      </c>
      <c r="B21" s="16" t="s">
        <v>9</v>
      </c>
      <c r="C21" s="16" t="s">
        <v>16</v>
      </c>
      <c r="D21" s="28">
        <v>250000</v>
      </c>
      <c r="E21" s="29">
        <v>248000</v>
      </c>
      <c r="F21" s="17">
        <f t="shared" si="0"/>
        <v>-2000</v>
      </c>
      <c r="G21" s="18">
        <f t="shared" si="1"/>
        <v>-8.0000000000000002E-3</v>
      </c>
    </row>
    <row r="22" spans="1:7" ht="15.6" x14ac:dyDescent="0.3">
      <c r="A22" s="16" t="s">
        <v>6</v>
      </c>
      <c r="B22" s="16" t="s">
        <v>10</v>
      </c>
      <c r="C22" s="16" t="s">
        <v>17</v>
      </c>
      <c r="D22" s="28">
        <v>1250000</v>
      </c>
      <c r="E22" s="29">
        <v>1245000</v>
      </c>
      <c r="F22" s="17">
        <f t="shared" si="0"/>
        <v>-5000</v>
      </c>
      <c r="G22" s="18">
        <f t="shared" si="1"/>
        <v>-4.0000000000000001E-3</v>
      </c>
    </row>
    <row r="23" spans="1:7" ht="15.6" x14ac:dyDescent="0.3">
      <c r="A23" s="16" t="s">
        <v>6</v>
      </c>
      <c r="B23" s="16" t="s">
        <v>10</v>
      </c>
      <c r="C23" s="16" t="s">
        <v>18</v>
      </c>
      <c r="D23" s="28">
        <v>60000</v>
      </c>
      <c r="E23" s="29">
        <v>55000</v>
      </c>
      <c r="F23" s="17">
        <f t="shared" si="0"/>
        <v>-5000</v>
      </c>
      <c r="G23" s="18">
        <f t="shared" si="1"/>
        <v>-8.3333333333333329E-2</v>
      </c>
    </row>
    <row r="24" spans="1:7" ht="15.6" x14ac:dyDescent="0.3">
      <c r="A24" s="16" t="s">
        <v>6</v>
      </c>
      <c r="B24" s="16" t="s">
        <v>11</v>
      </c>
      <c r="C24" s="16" t="s">
        <v>19</v>
      </c>
      <c r="D24" s="28">
        <v>90000</v>
      </c>
      <c r="E24" s="29">
        <v>85000</v>
      </c>
      <c r="F24" s="17">
        <f t="shared" si="0"/>
        <v>-5000</v>
      </c>
      <c r="G24" s="18">
        <f t="shared" si="1"/>
        <v>-5.5555555555555552E-2</v>
      </c>
    </row>
    <row r="25" spans="1:7" ht="15.6" x14ac:dyDescent="0.3">
      <c r="A25" s="16" t="s">
        <v>6</v>
      </c>
      <c r="B25" s="16" t="s">
        <v>12</v>
      </c>
      <c r="C25" s="16" t="s">
        <v>20</v>
      </c>
      <c r="D25" s="28">
        <v>450000</v>
      </c>
      <c r="E25" s="29">
        <v>450000</v>
      </c>
      <c r="F25" s="17">
        <f t="shared" si="0"/>
        <v>0</v>
      </c>
      <c r="G25" s="18">
        <f t="shared" si="1"/>
        <v>0</v>
      </c>
    </row>
    <row r="26" spans="1:7" ht="15.6" x14ac:dyDescent="0.3">
      <c r="A26" s="16" t="s">
        <v>7</v>
      </c>
      <c r="B26" s="16" t="s">
        <v>9</v>
      </c>
      <c r="C26" s="16" t="s">
        <v>15</v>
      </c>
      <c r="D26" s="28">
        <v>180000</v>
      </c>
      <c r="E26" s="29">
        <v>188000</v>
      </c>
      <c r="F26" s="17">
        <f t="shared" si="0"/>
        <v>8000</v>
      </c>
      <c r="G26" s="18">
        <f t="shared" si="1"/>
        <v>4.4444444444444446E-2</v>
      </c>
    </row>
    <row r="27" spans="1:7" ht="15.6" x14ac:dyDescent="0.3">
      <c r="A27" s="16" t="s">
        <v>7</v>
      </c>
      <c r="B27" s="16" t="s">
        <v>9</v>
      </c>
      <c r="C27" s="16" t="s">
        <v>16</v>
      </c>
      <c r="D27" s="28">
        <v>250000</v>
      </c>
      <c r="E27" s="29">
        <v>265000</v>
      </c>
      <c r="F27" s="17">
        <f t="shared" si="0"/>
        <v>15000</v>
      </c>
      <c r="G27" s="18">
        <f t="shared" si="1"/>
        <v>0.06</v>
      </c>
    </row>
    <row r="28" spans="1:7" ht="15.6" x14ac:dyDescent="0.3">
      <c r="A28" s="16" t="s">
        <v>7</v>
      </c>
      <c r="B28" s="16" t="s">
        <v>10</v>
      </c>
      <c r="C28" s="16" t="s">
        <v>17</v>
      </c>
      <c r="D28" s="28">
        <v>1250000</v>
      </c>
      <c r="E28" s="29">
        <v>1260000</v>
      </c>
      <c r="F28" s="17">
        <f t="shared" si="0"/>
        <v>10000</v>
      </c>
      <c r="G28" s="18">
        <f t="shared" si="1"/>
        <v>8.0000000000000002E-3</v>
      </c>
    </row>
    <row r="29" spans="1:7" ht="15.6" x14ac:dyDescent="0.3">
      <c r="A29" s="16" t="s">
        <v>7</v>
      </c>
      <c r="B29" s="16" t="s">
        <v>10</v>
      </c>
      <c r="C29" s="16" t="s">
        <v>18</v>
      </c>
      <c r="D29" s="28">
        <v>60000</v>
      </c>
      <c r="E29" s="29">
        <v>72000</v>
      </c>
      <c r="F29" s="17">
        <f t="shared" si="0"/>
        <v>12000</v>
      </c>
      <c r="G29" s="18">
        <f t="shared" si="1"/>
        <v>0.2</v>
      </c>
    </row>
    <row r="30" spans="1:7" ht="15.6" x14ac:dyDescent="0.3">
      <c r="A30" s="16" t="s">
        <v>7</v>
      </c>
      <c r="B30" s="16" t="s">
        <v>11</v>
      </c>
      <c r="C30" s="16" t="s">
        <v>19</v>
      </c>
      <c r="D30" s="28">
        <v>90000</v>
      </c>
      <c r="E30" s="29">
        <v>105000</v>
      </c>
      <c r="F30" s="17">
        <f t="shared" si="0"/>
        <v>15000</v>
      </c>
      <c r="G30" s="18">
        <f t="shared" si="1"/>
        <v>0.16666666666666666</v>
      </c>
    </row>
    <row r="31" spans="1:7" ht="15.6" x14ac:dyDescent="0.3">
      <c r="A31" s="16" t="s">
        <v>7</v>
      </c>
      <c r="B31" s="16" t="s">
        <v>12</v>
      </c>
      <c r="C31" s="16" t="s">
        <v>20</v>
      </c>
      <c r="D31" s="28">
        <v>450000</v>
      </c>
      <c r="E31" s="29">
        <v>450000</v>
      </c>
      <c r="F31" s="17">
        <f t="shared" si="0"/>
        <v>0</v>
      </c>
      <c r="G31" s="18">
        <f t="shared" si="1"/>
        <v>0</v>
      </c>
    </row>
    <row r="32" spans="1:7" ht="15.6" x14ac:dyDescent="0.3">
      <c r="A32" s="16" t="s">
        <v>8</v>
      </c>
      <c r="B32" s="16" t="s">
        <v>9</v>
      </c>
      <c r="C32" s="16" t="s">
        <v>15</v>
      </c>
      <c r="D32" s="28">
        <v>180000</v>
      </c>
      <c r="E32" s="29">
        <v>192000</v>
      </c>
      <c r="F32" s="17">
        <f t="shared" si="0"/>
        <v>12000</v>
      </c>
      <c r="G32" s="18">
        <f t="shared" si="1"/>
        <v>6.6666666666666666E-2</v>
      </c>
    </row>
    <row r="33" spans="1:7" ht="15.6" x14ac:dyDescent="0.3">
      <c r="A33" s="16" t="s">
        <v>8</v>
      </c>
      <c r="B33" s="16" t="s">
        <v>9</v>
      </c>
      <c r="C33" s="16" t="s">
        <v>16</v>
      </c>
      <c r="D33" s="28">
        <v>250000</v>
      </c>
      <c r="E33" s="29">
        <v>280000</v>
      </c>
      <c r="F33" s="17">
        <f t="shared" si="0"/>
        <v>30000</v>
      </c>
      <c r="G33" s="18">
        <f t="shared" si="1"/>
        <v>0.12</v>
      </c>
    </row>
    <row r="34" spans="1:7" ht="15.6" x14ac:dyDescent="0.3">
      <c r="A34" s="16" t="s">
        <v>8</v>
      </c>
      <c r="B34" s="16" t="s">
        <v>10</v>
      </c>
      <c r="C34" s="16" t="s">
        <v>17</v>
      </c>
      <c r="D34" s="28">
        <v>1250000</v>
      </c>
      <c r="E34" s="29">
        <v>1270000</v>
      </c>
      <c r="F34" s="17">
        <f t="shared" si="0"/>
        <v>20000</v>
      </c>
      <c r="G34" s="18">
        <f t="shared" si="1"/>
        <v>1.6E-2</v>
      </c>
    </row>
    <row r="35" spans="1:7" ht="15.6" x14ac:dyDescent="0.3">
      <c r="A35" s="16" t="s">
        <v>8</v>
      </c>
      <c r="B35" s="16" t="s">
        <v>10</v>
      </c>
      <c r="C35" s="16" t="s">
        <v>18</v>
      </c>
      <c r="D35" s="28">
        <v>60000</v>
      </c>
      <c r="E35" s="29">
        <v>88000</v>
      </c>
      <c r="F35" s="17">
        <f t="shared" si="0"/>
        <v>28000</v>
      </c>
      <c r="G35" s="18">
        <f t="shared" si="1"/>
        <v>0.46666666666666667</v>
      </c>
    </row>
    <row r="36" spans="1:7" ht="15.6" x14ac:dyDescent="0.3">
      <c r="A36" s="16" t="s">
        <v>8</v>
      </c>
      <c r="B36" s="16" t="s">
        <v>11</v>
      </c>
      <c r="C36" s="16" t="s">
        <v>19</v>
      </c>
      <c r="D36" s="28">
        <v>90000</v>
      </c>
      <c r="E36" s="29">
        <v>120000</v>
      </c>
      <c r="F36" s="17">
        <f t="shared" si="0"/>
        <v>30000</v>
      </c>
      <c r="G36" s="18">
        <f t="shared" si="1"/>
        <v>0.33333333333333331</v>
      </c>
    </row>
    <row r="37" spans="1:7" ht="15.6" x14ac:dyDescent="0.3">
      <c r="A37" s="16" t="s">
        <v>8</v>
      </c>
      <c r="B37" s="16" t="s">
        <v>12</v>
      </c>
      <c r="C37" s="16" t="s">
        <v>20</v>
      </c>
      <c r="D37" s="28">
        <v>450000</v>
      </c>
      <c r="E37" s="29">
        <v>450000</v>
      </c>
      <c r="F37" s="17">
        <f t="shared" si="0"/>
        <v>0</v>
      </c>
      <c r="G37" s="18">
        <f t="shared" si="1"/>
        <v>0</v>
      </c>
    </row>
  </sheetData>
  <conditionalFormatting sqref="F2:F37">
    <cfRule type="cellIs" dxfId="2" priority="3" operator="greaterThan">
      <formula>0</formula>
    </cfRule>
  </conditionalFormatting>
  <conditionalFormatting sqref="F1:F37">
    <cfRule type="cellIs" dxfId="1" priority="1" operator="lessThan">
      <formula>0</formula>
    </cfRule>
    <cfRule type="cellIs" dxfId="0" priority="2" operator="lessThan">
      <formula>0</formula>
    </cfRule>
  </conditionalFormatting>
  <pageMargins left="0.7" right="0.7" top="0.75" bottom="0.75" header="0.3" footer="0.3"/>
  <pageSetup orientation="portrait" r:id="rId1"/>
  <ignoredErrors>
    <ignoredError sqref="A2:G37 B1:C1 F1:G1 K4:K5" formulaRange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3B7CDD-5821-4442-B44F-B1D489A966FA}">
  <dimension ref="B1:R83"/>
  <sheetViews>
    <sheetView showGridLines="0" topLeftCell="B1" zoomScale="87" workbookViewId="0">
      <selection activeCell="L3" sqref="L3:N3"/>
    </sheetView>
  </sheetViews>
  <sheetFormatPr defaultRowHeight="14.4" x14ac:dyDescent="0.3"/>
  <cols>
    <col min="2" max="2" width="11.21875" bestFit="1" customWidth="1"/>
    <col min="3" max="3" width="13.88671875" bestFit="1" customWidth="1"/>
    <col min="4" max="4" width="13.21875" bestFit="1" customWidth="1"/>
    <col min="5" max="6" width="8" bestFit="1" customWidth="1"/>
    <col min="7" max="7" width="11.21875" bestFit="1" customWidth="1"/>
    <col min="8" max="8" width="7" bestFit="1" customWidth="1"/>
    <col min="9" max="9" width="11.21875" bestFit="1" customWidth="1"/>
    <col min="10" max="10" width="3.33203125" bestFit="1" customWidth="1"/>
    <col min="11" max="11" width="5" customWidth="1"/>
    <col min="12" max="12" width="8.88671875" bestFit="1" customWidth="1"/>
    <col min="13" max="13" width="10.88671875" customWidth="1"/>
    <col min="14" max="14" width="12.6640625" customWidth="1"/>
    <col min="15" max="16" width="6" bestFit="1" customWidth="1"/>
    <col min="17" max="17" width="9.44140625" bestFit="1" customWidth="1"/>
    <col min="18" max="18" width="6.6640625" bestFit="1" customWidth="1"/>
    <col min="19" max="19" width="7.5546875" bestFit="1" customWidth="1"/>
    <col min="20" max="20" width="6.6640625" bestFit="1" customWidth="1"/>
    <col min="21" max="21" width="5.6640625" bestFit="1" customWidth="1"/>
    <col min="22" max="22" width="9" bestFit="1" customWidth="1"/>
    <col min="23" max="23" width="6.77734375" bestFit="1" customWidth="1"/>
    <col min="24" max="24" width="7.5546875" bestFit="1" customWidth="1"/>
    <col min="25" max="26" width="6" bestFit="1" customWidth="1"/>
    <col min="27" max="27" width="9.6640625" bestFit="1" customWidth="1"/>
    <col min="28" max="28" width="6.6640625" bestFit="1" customWidth="1"/>
    <col min="29" max="29" width="7.5546875" bestFit="1" customWidth="1"/>
    <col min="30" max="31" width="6" bestFit="1" customWidth="1"/>
    <col min="32" max="32" width="8.77734375" bestFit="1" customWidth="1"/>
    <col min="33" max="33" width="11.21875" bestFit="1" customWidth="1"/>
  </cols>
  <sheetData>
    <row r="1" spans="2:18" x14ac:dyDescent="0.3">
      <c r="B1" s="3"/>
    </row>
    <row r="2" spans="2:18" x14ac:dyDescent="0.3">
      <c r="B2" s="3"/>
      <c r="C2" s="4"/>
    </row>
    <row r="3" spans="2:18" ht="18" x14ac:dyDescent="0.35">
      <c r="B3" s="3"/>
      <c r="C3" s="4"/>
      <c r="L3" s="32"/>
      <c r="M3" s="32"/>
      <c r="N3" s="32"/>
      <c r="Q3" s="33" t="s">
        <v>28</v>
      </c>
      <c r="R3" s="33"/>
    </row>
    <row r="4" spans="2:18" x14ac:dyDescent="0.3">
      <c r="B4" s="3"/>
      <c r="C4" s="4"/>
    </row>
    <row r="8" spans="2:18" x14ac:dyDescent="0.3">
      <c r="B8" s="22" t="s">
        <v>0</v>
      </c>
      <c r="C8" s="23" t="s">
        <v>24</v>
      </c>
      <c r="D8" s="23" t="s">
        <v>25</v>
      </c>
    </row>
    <row r="9" spans="2:18" x14ac:dyDescent="0.3">
      <c r="B9" s="24" t="s">
        <v>3</v>
      </c>
      <c r="C9" s="25">
        <v>2275000</v>
      </c>
      <c r="D9" s="25">
        <v>2264000</v>
      </c>
    </row>
    <row r="10" spans="2:18" x14ac:dyDescent="0.3">
      <c r="B10" s="24" t="s">
        <v>4</v>
      </c>
      <c r="C10" s="25">
        <v>2275000</v>
      </c>
      <c r="D10" s="25">
        <v>2283000</v>
      </c>
    </row>
    <row r="11" spans="2:18" x14ac:dyDescent="0.3">
      <c r="B11" s="24" t="s">
        <v>5</v>
      </c>
      <c r="C11" s="25">
        <v>2275000</v>
      </c>
      <c r="D11" s="25">
        <v>2350000</v>
      </c>
    </row>
    <row r="12" spans="2:18" x14ac:dyDescent="0.3">
      <c r="B12" s="24" t="s">
        <v>6</v>
      </c>
      <c r="C12" s="25">
        <v>2280000</v>
      </c>
      <c r="D12" s="25">
        <v>2259000</v>
      </c>
    </row>
    <row r="13" spans="2:18" x14ac:dyDescent="0.3">
      <c r="B13" s="24" t="s">
        <v>7</v>
      </c>
      <c r="C13" s="25">
        <v>2280000</v>
      </c>
      <c r="D13" s="25">
        <v>2340000</v>
      </c>
    </row>
    <row r="14" spans="2:18" x14ac:dyDescent="0.3">
      <c r="B14" s="24" t="s">
        <v>8</v>
      </c>
      <c r="C14" s="25">
        <v>2280000</v>
      </c>
      <c r="D14" s="25">
        <v>2400000</v>
      </c>
    </row>
    <row r="15" spans="2:18" x14ac:dyDescent="0.3">
      <c r="B15" s="24" t="s">
        <v>23</v>
      </c>
      <c r="C15" s="25">
        <v>13665000</v>
      </c>
      <c r="D15" s="25">
        <v>13896000</v>
      </c>
    </row>
    <row r="46" spans="9:11" x14ac:dyDescent="0.3">
      <c r="I46" s="3"/>
      <c r="K46" s="3"/>
    </row>
    <row r="51" spans="4:14" x14ac:dyDescent="0.3"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</row>
    <row r="77" spans="9:18" x14ac:dyDescent="0.3">
      <c r="I77" s="1"/>
      <c r="J77" s="1"/>
      <c r="K77" s="1"/>
      <c r="L77" s="1"/>
      <c r="M77" s="1"/>
      <c r="N77" s="1"/>
      <c r="O77" s="1"/>
      <c r="P77" s="1"/>
      <c r="Q77" s="1"/>
      <c r="R77" s="1"/>
    </row>
    <row r="80" spans="9:18" x14ac:dyDescent="0.3">
      <c r="I80" s="1"/>
      <c r="J80" s="1"/>
      <c r="K80" s="1"/>
      <c r="L80" s="1"/>
      <c r="M80" s="1"/>
    </row>
    <row r="81" spans="4:7" x14ac:dyDescent="0.3">
      <c r="D81" s="2"/>
      <c r="E81" s="2"/>
      <c r="F81" s="2"/>
      <c r="G81" s="2"/>
    </row>
    <row r="82" spans="4:7" x14ac:dyDescent="0.3">
      <c r="D82" s="2"/>
      <c r="E82" s="2"/>
      <c r="F82" s="2"/>
      <c r="G82" s="2"/>
    </row>
    <row r="83" spans="4:7" x14ac:dyDescent="0.3">
      <c r="D83" s="2"/>
      <c r="E83" s="2"/>
      <c r="F83" s="2"/>
      <c r="G83" s="2"/>
    </row>
  </sheetData>
  <mergeCells count="2">
    <mergeCell ref="L3:N3"/>
    <mergeCell ref="Q3:R3"/>
  </mergeCells>
  <pageMargins left="0.7" right="0.7" top="0.75" bottom="0.75" header="0.3" footer="0.3"/>
  <pageSetup orientation="portrait" r:id="rId2"/>
  <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00446F-9F39-4CC9-9BB2-E9C51604EC2C}">
  <dimension ref="B2:P10"/>
  <sheetViews>
    <sheetView showGridLines="0" workbookViewId="0">
      <selection activeCell="I23" sqref="I23"/>
    </sheetView>
  </sheetViews>
  <sheetFormatPr defaultRowHeight="14.4" x14ac:dyDescent="0.3"/>
  <cols>
    <col min="1" max="1" width="8.88671875" style="19"/>
    <col min="2" max="2" width="13.33203125" style="19" bestFit="1" customWidth="1"/>
    <col min="3" max="3" width="14.88671875" style="19" bestFit="1" customWidth="1"/>
    <col min="4" max="16384" width="8.88671875" style="19"/>
  </cols>
  <sheetData>
    <row r="2" spans="2:16" ht="18" x14ac:dyDescent="0.35">
      <c r="J2" s="34"/>
      <c r="K2" s="34"/>
      <c r="L2" s="34"/>
      <c r="O2" s="33" t="s">
        <v>28</v>
      </c>
      <c r="P2" s="33"/>
    </row>
    <row r="5" spans="2:16" x14ac:dyDescent="0.3">
      <c r="B5" s="22" t="s">
        <v>13</v>
      </c>
      <c r="C5" s="23" t="s">
        <v>26</v>
      </c>
    </row>
    <row r="6" spans="2:16" x14ac:dyDescent="0.3">
      <c r="B6" s="24" t="s">
        <v>12</v>
      </c>
      <c r="C6" s="25">
        <v>0</v>
      </c>
    </row>
    <row r="7" spans="2:16" x14ac:dyDescent="0.3">
      <c r="B7" s="24" t="s">
        <v>11</v>
      </c>
      <c r="C7" s="25">
        <v>50000</v>
      </c>
    </row>
    <row r="8" spans="2:16" x14ac:dyDescent="0.3">
      <c r="B8" s="24" t="s">
        <v>10</v>
      </c>
      <c r="C8" s="25">
        <v>92000</v>
      </c>
    </row>
    <row r="9" spans="2:16" x14ac:dyDescent="0.3">
      <c r="B9" s="24" t="s">
        <v>9</v>
      </c>
      <c r="C9" s="25">
        <v>89000</v>
      </c>
    </row>
    <row r="10" spans="2:16" x14ac:dyDescent="0.3">
      <c r="B10" s="24" t="s">
        <v>23</v>
      </c>
      <c r="C10" s="25">
        <v>231000</v>
      </c>
    </row>
  </sheetData>
  <mergeCells count="2">
    <mergeCell ref="J2:L2"/>
    <mergeCell ref="O2:P2"/>
  </mergeCells>
  <pageMargins left="0.7" right="0.7" top="0.75" bottom="0.75" header="0.3" footer="0.3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B71312-64AB-44BA-89E6-8670F644B68D}">
  <dimension ref="B1:O11"/>
  <sheetViews>
    <sheetView showGridLines="0" workbookViewId="0">
      <selection activeCell="I2" sqref="I2"/>
    </sheetView>
  </sheetViews>
  <sheetFormatPr defaultRowHeight="14.4" x14ac:dyDescent="0.3"/>
  <cols>
    <col min="2" max="2" width="16" bestFit="1" customWidth="1"/>
    <col min="3" max="3" width="14.88671875" bestFit="1" customWidth="1"/>
    <col min="7" max="7" width="3.88671875" customWidth="1"/>
    <col min="8" max="8" width="12.5546875" customWidth="1"/>
    <col min="9" max="9" width="14.5546875" customWidth="1"/>
  </cols>
  <sheetData>
    <row r="1" spans="2:15" ht="14.4" customHeight="1" x14ac:dyDescent="0.35">
      <c r="H1" s="21"/>
      <c r="I1" s="21"/>
    </row>
    <row r="2" spans="2:15" ht="18" customHeight="1" x14ac:dyDescent="0.35">
      <c r="H2" s="21"/>
      <c r="I2" s="20"/>
      <c r="N2" s="33" t="s">
        <v>28</v>
      </c>
      <c r="O2" s="33"/>
    </row>
    <row r="4" spans="2:15" x14ac:dyDescent="0.3">
      <c r="B4" s="22" t="s">
        <v>14</v>
      </c>
      <c r="C4" s="23" t="s">
        <v>26</v>
      </c>
    </row>
    <row r="5" spans="2:15" x14ac:dyDescent="0.3">
      <c r="B5" s="24" t="s">
        <v>19</v>
      </c>
      <c r="C5" s="25">
        <v>50000</v>
      </c>
    </row>
    <row r="6" spans="2:15" x14ac:dyDescent="0.3">
      <c r="B6" s="24" t="s">
        <v>16</v>
      </c>
      <c r="C6" s="25">
        <v>60000</v>
      </c>
    </row>
    <row r="7" spans="2:15" x14ac:dyDescent="0.3">
      <c r="B7" s="24" t="s">
        <v>20</v>
      </c>
      <c r="C7" s="25">
        <v>0</v>
      </c>
    </row>
    <row r="8" spans="2:15" x14ac:dyDescent="0.3">
      <c r="B8" s="24" t="s">
        <v>18</v>
      </c>
      <c r="C8" s="25">
        <v>57000</v>
      </c>
    </row>
    <row r="9" spans="2:15" x14ac:dyDescent="0.3">
      <c r="B9" s="24" t="s">
        <v>17</v>
      </c>
      <c r="C9" s="25">
        <v>35000</v>
      </c>
    </row>
    <row r="10" spans="2:15" x14ac:dyDescent="0.3">
      <c r="B10" s="24" t="s">
        <v>15</v>
      </c>
      <c r="C10" s="25">
        <v>29000</v>
      </c>
    </row>
    <row r="11" spans="2:15" x14ac:dyDescent="0.3">
      <c r="B11" s="24" t="s">
        <v>23</v>
      </c>
      <c r="C11" s="25">
        <v>231000</v>
      </c>
    </row>
  </sheetData>
  <mergeCells count="1">
    <mergeCell ref="N2:O2"/>
  </mergeCells>
  <pageMargins left="0.7" right="0.7" top="0.75" bottom="0.75" header="0.3" footer="0.3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8669D2-C326-42DF-A903-5E8313FBE1F0}">
  <dimension ref="B2:R12"/>
  <sheetViews>
    <sheetView showGridLines="0" topLeftCell="C1" workbookViewId="0">
      <selection activeCell="J29" sqref="J29"/>
    </sheetView>
  </sheetViews>
  <sheetFormatPr defaultRowHeight="14.4" x14ac:dyDescent="0.3"/>
  <cols>
    <col min="2" max="2" width="10.77734375" bestFit="1" customWidth="1"/>
    <col min="3" max="3" width="12.77734375" bestFit="1" customWidth="1"/>
    <col min="7" max="7" width="10.5546875" bestFit="1" customWidth="1"/>
    <col min="14" max="14" width="11.88671875" customWidth="1"/>
  </cols>
  <sheetData>
    <row r="2" spans="2:18" ht="18" x14ac:dyDescent="0.35">
      <c r="L2" s="32"/>
      <c r="M2" s="32"/>
      <c r="N2" s="32"/>
      <c r="O2" s="5"/>
      <c r="Q2" s="33" t="s">
        <v>28</v>
      </c>
      <c r="R2" s="33"/>
    </row>
    <row r="5" spans="2:18" x14ac:dyDescent="0.3">
      <c r="B5" s="22" t="s">
        <v>0</v>
      </c>
      <c r="C5" s="22" t="s">
        <v>25</v>
      </c>
      <c r="E5" s="6" t="s">
        <v>0</v>
      </c>
      <c r="F5" s="7" t="s">
        <v>1</v>
      </c>
      <c r="G5" s="8" t="s">
        <v>27</v>
      </c>
    </row>
    <row r="6" spans="2:18" x14ac:dyDescent="0.3">
      <c r="B6" s="24" t="s">
        <v>3</v>
      </c>
      <c r="C6" s="25">
        <v>2264000</v>
      </c>
      <c r="E6" s="9" t="s">
        <v>6</v>
      </c>
      <c r="F6" s="10">
        <f>GETPIVOTDATA("Actual",'Actual vs Forecast'!$B$5,"Month","Apr")</f>
        <v>2259000</v>
      </c>
      <c r="G6" s="11">
        <f>AVERAGE('Actual vs Forecast'!C6:C8)</f>
        <v>2299000</v>
      </c>
    </row>
    <row r="7" spans="2:18" x14ac:dyDescent="0.3">
      <c r="B7" s="24" t="s">
        <v>4</v>
      </c>
      <c r="C7" s="25">
        <v>2283000</v>
      </c>
      <c r="E7" s="9" t="s">
        <v>7</v>
      </c>
      <c r="F7" s="10">
        <f>GETPIVOTDATA("Actual",'Actual vs Forecast'!$B$5,"Month","May")</f>
        <v>2340000</v>
      </c>
      <c r="G7" s="11">
        <f>AVERAGE('Actual vs Forecast'!C7:C9)</f>
        <v>2297333.3333333335</v>
      </c>
    </row>
    <row r="8" spans="2:18" x14ac:dyDescent="0.3">
      <c r="B8" s="24" t="s">
        <v>5</v>
      </c>
      <c r="C8" s="25">
        <v>2350000</v>
      </c>
      <c r="E8" s="12" t="s">
        <v>8</v>
      </c>
      <c r="F8" s="13">
        <f>GETPIVOTDATA("Actual",'Actual vs Forecast'!$B$5,"Month","Jun")</f>
        <v>2400000</v>
      </c>
      <c r="G8" s="14">
        <f>AVERAGE('Actual vs Forecast'!C8:C10)</f>
        <v>2316333.3333333335</v>
      </c>
    </row>
    <row r="9" spans="2:18" x14ac:dyDescent="0.3">
      <c r="B9" s="24" t="s">
        <v>6</v>
      </c>
      <c r="C9" s="25">
        <v>2259000</v>
      </c>
    </row>
    <row r="10" spans="2:18" x14ac:dyDescent="0.3">
      <c r="B10" s="24" t="s">
        <v>7</v>
      </c>
      <c r="C10" s="25">
        <v>2340000</v>
      </c>
    </row>
    <row r="11" spans="2:18" x14ac:dyDescent="0.3">
      <c r="B11" s="24" t="s">
        <v>8</v>
      </c>
      <c r="C11" s="25">
        <v>2400000</v>
      </c>
    </row>
    <row r="12" spans="2:18" x14ac:dyDescent="0.3">
      <c r="B12" s="24" t="s">
        <v>23</v>
      </c>
      <c r="C12" s="25">
        <v>13896000</v>
      </c>
    </row>
  </sheetData>
  <mergeCells count="2">
    <mergeCell ref="L2:N2"/>
    <mergeCell ref="Q2:R2"/>
  </mergeCells>
  <pageMargins left="0.7" right="0.7" top="0.75" bottom="0.75" header="0.3" footer="0.3"/>
  <pageSetup orientation="portrait" r:id="rId2"/>
  <drawing r:id="rId3"/>
  <tableParts count="1">
    <tablePart r:id="rId4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5CD424-9D1D-4572-A359-F48FA4E631AE}">
  <dimension ref="B2:P42"/>
  <sheetViews>
    <sheetView showGridLines="0" tabSelected="1" zoomScale="80" zoomScaleNormal="80" workbookViewId="0">
      <selection activeCell="B2" sqref="B2:D5"/>
    </sheetView>
  </sheetViews>
  <sheetFormatPr defaultRowHeight="14.4" x14ac:dyDescent="0.3"/>
  <cols>
    <col min="2" max="2" width="14.109375" bestFit="1" customWidth="1"/>
    <col min="5" max="5" width="1" customWidth="1"/>
    <col min="9" max="9" width="1.21875" customWidth="1"/>
    <col min="13" max="13" width="1.109375" customWidth="1"/>
  </cols>
  <sheetData>
    <row r="2" spans="2:16" x14ac:dyDescent="0.3">
      <c r="B2" s="38" t="s">
        <v>34</v>
      </c>
      <c r="C2" s="39"/>
      <c r="D2" s="39"/>
      <c r="F2" s="38" t="s">
        <v>35</v>
      </c>
      <c r="G2" s="39"/>
      <c r="H2" s="39"/>
      <c r="J2" s="38" t="s">
        <v>36</v>
      </c>
      <c r="K2" s="39"/>
      <c r="L2" s="39"/>
      <c r="N2" s="41" t="s">
        <v>37</v>
      </c>
      <c r="O2" s="42"/>
      <c r="P2" s="42"/>
    </row>
    <row r="3" spans="2:16" x14ac:dyDescent="0.3">
      <c r="B3" s="39"/>
      <c r="C3" s="39"/>
      <c r="D3" s="39"/>
      <c r="F3" s="39"/>
      <c r="G3" s="39"/>
      <c r="H3" s="39"/>
      <c r="J3" s="39"/>
      <c r="K3" s="39"/>
      <c r="L3" s="39"/>
      <c r="N3" s="42"/>
      <c r="O3" s="42"/>
      <c r="P3" s="42"/>
    </row>
    <row r="4" spans="2:16" x14ac:dyDescent="0.3">
      <c r="B4" s="39"/>
      <c r="C4" s="39"/>
      <c r="D4" s="39"/>
      <c r="F4" s="39"/>
      <c r="G4" s="39"/>
      <c r="H4" s="39"/>
      <c r="J4" s="39"/>
      <c r="K4" s="39"/>
      <c r="L4" s="39"/>
      <c r="N4" s="42"/>
      <c r="O4" s="42"/>
      <c r="P4" s="42"/>
    </row>
    <row r="5" spans="2:16" x14ac:dyDescent="0.3">
      <c r="B5" s="39"/>
      <c r="C5" s="39"/>
      <c r="D5" s="39"/>
      <c r="F5" s="39"/>
      <c r="G5" s="39"/>
      <c r="H5" s="39"/>
      <c r="J5" s="39"/>
      <c r="K5" s="39"/>
      <c r="L5" s="39"/>
      <c r="N5" s="42"/>
      <c r="O5" s="42"/>
      <c r="P5" s="42"/>
    </row>
    <row r="24" customFormat="1" x14ac:dyDescent="0.3"/>
    <row r="25" customFormat="1" x14ac:dyDescent="0.3"/>
    <row r="26" customFormat="1" x14ac:dyDescent="0.3"/>
    <row r="39" spans="2:14" ht="18" x14ac:dyDescent="0.35">
      <c r="B39" s="40" t="s">
        <v>38</v>
      </c>
      <c r="C39" s="40"/>
      <c r="D39" s="40"/>
      <c r="E39" s="40"/>
      <c r="F39" s="40"/>
      <c r="G39" s="40"/>
      <c r="H39" s="40"/>
      <c r="I39" s="40"/>
      <c r="J39" s="40"/>
      <c r="K39" s="40"/>
      <c r="L39" s="40"/>
      <c r="M39" s="40"/>
      <c r="N39" s="40"/>
    </row>
    <row r="40" spans="2:14" ht="18" x14ac:dyDescent="0.35">
      <c r="B40" s="40" t="s">
        <v>39</v>
      </c>
      <c r="C40" s="40"/>
      <c r="D40" s="40"/>
      <c r="E40" s="40"/>
      <c r="F40" s="40"/>
      <c r="G40" s="40"/>
      <c r="H40" s="40"/>
      <c r="I40" s="40"/>
      <c r="J40" s="40"/>
      <c r="K40" s="40"/>
      <c r="L40" s="40"/>
      <c r="M40" s="40"/>
      <c r="N40" s="40"/>
    </row>
    <row r="41" spans="2:14" ht="18" x14ac:dyDescent="0.35">
      <c r="B41" s="40" t="s">
        <v>40</v>
      </c>
      <c r="C41" s="40"/>
      <c r="D41" s="40"/>
      <c r="E41" s="40"/>
      <c r="F41" s="40"/>
      <c r="G41" s="40"/>
      <c r="H41" s="40"/>
      <c r="I41" s="40"/>
      <c r="J41" s="40"/>
      <c r="K41" s="40"/>
      <c r="L41" s="40"/>
      <c r="M41" s="40"/>
      <c r="N41" s="40"/>
    </row>
    <row r="42" spans="2:14" ht="18" x14ac:dyDescent="0.35">
      <c r="B42" s="40" t="s">
        <v>41</v>
      </c>
      <c r="C42" s="40"/>
      <c r="D42" s="40"/>
      <c r="E42" s="40"/>
      <c r="F42" s="40"/>
      <c r="G42" s="40"/>
      <c r="H42" s="40"/>
      <c r="I42" s="40"/>
      <c r="J42" s="40"/>
      <c r="K42" s="40"/>
      <c r="L42" s="40"/>
      <c r="M42" s="40"/>
      <c r="N42" s="40"/>
    </row>
  </sheetData>
  <mergeCells count="4">
    <mergeCell ref="B2:D5"/>
    <mergeCell ref="F2:H5"/>
    <mergeCell ref="J2:L5"/>
    <mergeCell ref="N2:P5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Data</vt:lpstr>
      <vt:lpstr>Actual vs Budget</vt:lpstr>
      <vt:lpstr>Variance by Department</vt:lpstr>
      <vt:lpstr>Variance by Category</vt:lpstr>
      <vt:lpstr>Actual vs Forecast</vt:lpstr>
      <vt:lpstr>Dashboard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Akash R</dc:creator>
  <cp:lastModifiedBy>Akash R</cp:lastModifiedBy>
  <dcterms:created xsi:type="dcterms:W3CDTF">2015-06-05T18:17:20Z</dcterms:created>
  <dcterms:modified xsi:type="dcterms:W3CDTF">2026-02-08T15:45:04Z</dcterms:modified>
</cp:coreProperties>
</file>